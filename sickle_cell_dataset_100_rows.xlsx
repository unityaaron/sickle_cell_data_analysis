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91" windowHeight="5375"/>
  </bookViews>
  <sheets>
    <sheet name="SickleCell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<sst xmlns="http://schemas.openxmlformats.org/spreadsheetml/2006/main" count="422" uniqueCount="129">
  <si>
    <t>Town</t>
  </si>
  <si>
    <t>Child_ID</t>
  </si>
  <si>
    <t>Age</t>
  </si>
  <si>
    <t>Gender</t>
  </si>
  <si>
    <t>Sickle_Cell_Type</t>
  </si>
  <si>
    <t>Diagnosis_Year</t>
  </si>
  <si>
    <t>Hemoglobin_Level_g_dL</t>
  </si>
  <si>
    <t>Pain_Crises_Per_Year</t>
  </si>
  <si>
    <t>Hospital_Visits_Per_Year</t>
  </si>
  <si>
    <t>Days_Missed_School_Per_Year</t>
  </si>
  <si>
    <t>Total Sick Days</t>
  </si>
  <si>
    <t>Average Sick Days</t>
  </si>
  <si>
    <t>Median Sick Days</t>
  </si>
  <si>
    <t>Max Sick Days</t>
  </si>
  <si>
    <t>Min Sick Days</t>
  </si>
  <si>
    <t>Very Sensitive Patient</t>
  </si>
  <si>
    <t>SUMMARY TABLE</t>
  </si>
  <si>
    <t>Yaba</t>
  </si>
  <si>
    <t>YA006</t>
  </si>
  <si>
    <t>Female</t>
  </si>
  <si>
    <t>HbSC</t>
  </si>
  <si>
    <t>TOWN</t>
  </si>
  <si>
    <t>AVERAGE SICK DAYS</t>
  </si>
  <si>
    <t>YA007</t>
  </si>
  <si>
    <t>HbSS</t>
  </si>
  <si>
    <t>IKEJA</t>
  </si>
  <si>
    <t>YA009</t>
  </si>
  <si>
    <t>Male</t>
  </si>
  <si>
    <t>SURULERE</t>
  </si>
  <si>
    <t>YA012</t>
  </si>
  <si>
    <t>YABA</t>
  </si>
  <si>
    <t>YA013</t>
  </si>
  <si>
    <t>YA014</t>
  </si>
  <si>
    <t>YA016</t>
  </si>
  <si>
    <t>YA023</t>
  </si>
  <si>
    <t>YA025</t>
  </si>
  <si>
    <t>YA026</t>
  </si>
  <si>
    <t>YA027</t>
  </si>
  <si>
    <t>YA033</t>
  </si>
  <si>
    <t>YA035</t>
  </si>
  <si>
    <t>YA040</t>
  </si>
  <si>
    <t>YA048</t>
  </si>
  <si>
    <t>YA052</t>
  </si>
  <si>
    <t>YA053</t>
  </si>
  <si>
    <t>YA054</t>
  </si>
  <si>
    <t>YA055</t>
  </si>
  <si>
    <t>YA061</t>
  </si>
  <si>
    <t>YA062</t>
  </si>
  <si>
    <t>YA064</t>
  </si>
  <si>
    <t>YA066</t>
  </si>
  <si>
    <t>YA071</t>
  </si>
  <si>
    <t>YA075</t>
  </si>
  <si>
    <t>YA080</t>
  </si>
  <si>
    <t>YA087</t>
  </si>
  <si>
    <t>YA088</t>
  </si>
  <si>
    <t>YA089</t>
  </si>
  <si>
    <t>YA090</t>
  </si>
  <si>
    <t>YA091</t>
  </si>
  <si>
    <t>YA093</t>
  </si>
  <si>
    <t>YA098</t>
  </si>
  <si>
    <t>Surulere</t>
  </si>
  <si>
    <t>SU001</t>
  </si>
  <si>
    <t>SU003</t>
  </si>
  <si>
    <t>SU004</t>
  </si>
  <si>
    <t>SU008</t>
  </si>
  <si>
    <t>SU010</t>
  </si>
  <si>
    <t>SU011</t>
  </si>
  <si>
    <t>SU018</t>
  </si>
  <si>
    <t>SU019</t>
  </si>
  <si>
    <t>SU024</t>
  </si>
  <si>
    <t>SU028</t>
  </si>
  <si>
    <t>SU030</t>
  </si>
  <si>
    <t>SU034</t>
  </si>
  <si>
    <t>SU036</t>
  </si>
  <si>
    <t>SU041</t>
  </si>
  <si>
    <t>SU042</t>
  </si>
  <si>
    <t>SU045</t>
  </si>
  <si>
    <t>SU046</t>
  </si>
  <si>
    <t>SU047</t>
  </si>
  <si>
    <t>SU049</t>
  </si>
  <si>
    <t>SU050</t>
  </si>
  <si>
    <t>SU059</t>
  </si>
  <si>
    <t>SU060</t>
  </si>
  <si>
    <t>SU063</t>
  </si>
  <si>
    <t>SU069</t>
  </si>
  <si>
    <t>SU081</t>
  </si>
  <si>
    <t>SU082</t>
  </si>
  <si>
    <t>SU083</t>
  </si>
  <si>
    <t>SU085</t>
  </si>
  <si>
    <t>SU086</t>
  </si>
  <si>
    <t>SU092</t>
  </si>
  <si>
    <t>SU094</t>
  </si>
  <si>
    <t>SU097</t>
  </si>
  <si>
    <t>SU099</t>
  </si>
  <si>
    <t>SU100</t>
  </si>
  <si>
    <t>Ikeja</t>
  </si>
  <si>
    <t>IK002</t>
  </si>
  <si>
    <t>IK005</t>
  </si>
  <si>
    <t>IK015</t>
  </si>
  <si>
    <t>IK017</t>
  </si>
  <si>
    <t>IK020</t>
  </si>
  <si>
    <t>IK021</t>
  </si>
  <si>
    <t>IK022</t>
  </si>
  <si>
    <t>IK029</t>
  </si>
  <si>
    <t>IK031</t>
  </si>
  <si>
    <t>IK032</t>
  </si>
  <si>
    <t>IK037</t>
  </si>
  <si>
    <t>IK038</t>
  </si>
  <si>
    <t>IK039</t>
  </si>
  <si>
    <t>IK043</t>
  </si>
  <si>
    <t>IK044</t>
  </si>
  <si>
    <t>IK051</t>
  </si>
  <si>
    <t>IK056</t>
  </si>
  <si>
    <t>IK057</t>
  </si>
  <si>
    <t>IK058</t>
  </si>
  <si>
    <t>IK065</t>
  </si>
  <si>
    <t>IK067</t>
  </si>
  <si>
    <t>IK068</t>
  </si>
  <si>
    <t>IK070</t>
  </si>
  <si>
    <t>IK072</t>
  </si>
  <si>
    <t>IK073</t>
  </si>
  <si>
    <t>IK074</t>
  </si>
  <si>
    <t>IK076</t>
  </si>
  <si>
    <t>IK077</t>
  </si>
  <si>
    <t>IK078</t>
  </si>
  <si>
    <t>IK079</t>
  </si>
  <si>
    <t>IK084</t>
  </si>
  <si>
    <t>IK095</t>
  </si>
  <si>
    <t>IK096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</si>
</sst>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NumberForma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5" xfId="0" applyBorder="1"/>
    <xf numFmtId="0" fontId="0" fillId="0" borderId="1" xfId="0" applyBorder="1"/>
    <xf numFmtId="0" fontId="0" fillId="0" borderId="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SickleCellData!$U$1:$U$2</c:f>
              <c:strCache>
                <c:ptCount val="1"/>
                <c:pt idx="0">
                  <c:v>SUMMARY TABLE AVERAGE SICK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SickleCellData!$S$3:$T$5</c:f>
              <c:multiLvlStrCache>
                <c:ptCount val="3"/>
                <c:lvl>
                  <c:pt idx="0">
                    <c:v>IKEJA</c:v>
                  </c:pt>
                  <c:pt idx="1">
                    <c:v>SURULERE</c:v>
                  </c:pt>
                  <c:pt idx="2">
                    <c:v>YABA</c:v>
                  </c:pt>
                </c:lvl>
                <c:lvl/>
              </c:multiLvlStrCache>
            </c:multiLvlStrRef>
          </c:cat>
          <c:val>
            <c:numRef>
              <c:f>SickleCellData!$U$3:$U$5</c:f>
              <c:numCache>
                <c:formatCode>General</c:formatCode>
                <c:ptCount val="3"/>
                <c:pt idx="0">
                  <c:v>26.3939393939394</c:v>
                </c:pt>
                <c:pt idx="1">
                  <c:v>27.5</c:v>
                </c:pt>
                <c:pt idx="2">
                  <c:v>27.4545454545455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69762982"/>
        <c:axId val="700338320"/>
      </c:barChart>
      <c:catAx>
        <c:axId val="2697629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0338320"/>
        <c:crosses val="autoZero"/>
        <c:auto val="1"/>
        <c:lblAlgn val="ctr"/>
        <c:lblOffset val="100"/>
        <c:noMultiLvlLbl val="0"/>
      </c:catAx>
      <c:valAx>
        <c:axId val="70033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97629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185420</xdr:colOff>
      <xdr:row>1</xdr:row>
      <xdr:rowOff>340995</xdr:rowOff>
    </xdr:from>
    <xdr:to>
      <xdr:col>28</xdr:col>
      <xdr:colOff>426085</xdr:colOff>
      <xdr:row>16</xdr:row>
      <xdr:rowOff>158115</xdr:rowOff>
    </xdr:to>
    <xdr:graphicFrame>
      <xdr:nvGraphicFramePr>
        <xdr:cNvPr id="13" name="Chart 12"/>
        <xdr:cNvGraphicFramePr/>
      </xdr:nvGraphicFramePr>
      <xdr:xfrm>
        <a:off x="20653375" y="889635"/>
        <a:ext cx="482790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1"/>
  <sheetViews>
    <sheetView tabSelected="1" zoomScale="70" zoomScaleNormal="70" topLeftCell="J1" workbookViewId="0">
      <selection activeCell="U18" sqref="U18"/>
    </sheetView>
  </sheetViews>
  <sheetFormatPr defaultColWidth="9" defaultRowHeight="14.4"/>
  <cols>
    <col min="6" max="6" width="14.4444444444444" customWidth="1"/>
    <col min="7" max="7" width="21.1111111111111" customWidth="1"/>
    <col min="8" max="8" width="20.3888888888889" customWidth="1"/>
    <col min="9" max="9" width="15.8148148148148" customWidth="1"/>
    <col min="10" max="10" width="25.2222222222222" customWidth="1"/>
    <col min="11" max="11" width="15" customWidth="1"/>
    <col min="12" max="12" width="17.1111111111111" customWidth="1"/>
    <col min="13" max="13" width="19.8703703703704" customWidth="1"/>
    <col min="14" max="14" width="14.2407407407407" customWidth="1"/>
    <col min="15" max="15" width="19.4722222222222" customWidth="1"/>
    <col min="17" max="17" width="18" customWidth="1"/>
    <col min="19" max="19" width="12.8888888888889"/>
    <col min="21" max="22" width="12.8888888888889"/>
  </cols>
  <sheetData>
    <row r="1" s="1" customFormat="1" ht="43.2" spans="1:2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6" t="s">
        <v>15</v>
      </c>
      <c r="S1" s="8" t="s">
        <v>16</v>
      </c>
      <c r="T1" s="9"/>
      <c r="U1" s="10"/>
    </row>
    <row r="2" ht="28.8" spans="1:21">
      <c r="A2" s="4" t="s">
        <v>17</v>
      </c>
      <c r="B2" s="4" t="s">
        <v>18</v>
      </c>
      <c r="C2" s="4">
        <v>8</v>
      </c>
      <c r="D2" s="4" t="s">
        <v>19</v>
      </c>
      <c r="E2" s="4" t="s">
        <v>20</v>
      </c>
      <c r="F2" s="4">
        <v>2018</v>
      </c>
      <c r="G2" s="4">
        <v>9.9</v>
      </c>
      <c r="H2" s="4">
        <v>5</v>
      </c>
      <c r="I2" s="4">
        <v>7</v>
      </c>
      <c r="J2" s="4">
        <v>20</v>
      </c>
      <c r="K2" s="7">
        <f>SUM(I2:J2)</f>
        <v>27</v>
      </c>
      <c r="L2" s="4">
        <f>AVERAGE(I2:J2)</f>
        <v>13.5</v>
      </c>
      <c r="M2" s="4">
        <f>MEDIAN(I2:J2)</f>
        <v>13.5</v>
      </c>
      <c r="N2" s="4">
        <f>MAX(I2:J2)</f>
        <v>20</v>
      </c>
      <c r="O2" s="4">
        <f>MIN(I2:J2)</f>
        <v>7</v>
      </c>
      <c r="P2" s="4" t="str">
        <f>IF(N2&gt;=50,"VERY","NOT VERY")</f>
        <v>NOT VERY</v>
      </c>
      <c r="S2" s="4"/>
      <c r="T2" s="11" t="s">
        <v>21</v>
      </c>
      <c r="U2" s="12" t="s">
        <v>22</v>
      </c>
    </row>
    <row r="3" spans="1:21">
      <c r="A3" s="4" t="s">
        <v>17</v>
      </c>
      <c r="B3" s="4" t="s">
        <v>23</v>
      </c>
      <c r="C3" s="4">
        <v>9</v>
      </c>
      <c r="D3" s="4" t="s">
        <v>19</v>
      </c>
      <c r="E3" s="4" t="s">
        <v>24</v>
      </c>
      <c r="F3" s="4">
        <v>2018</v>
      </c>
      <c r="G3" s="4">
        <v>6.7</v>
      </c>
      <c r="H3" s="4">
        <v>4</v>
      </c>
      <c r="I3" s="4">
        <v>6</v>
      </c>
      <c r="J3" s="4">
        <v>8</v>
      </c>
      <c r="K3" s="7">
        <f>SUM(I3:J3)</f>
        <v>14</v>
      </c>
      <c r="L3" s="4">
        <f>AVERAGE(I3:J3)</f>
        <v>7</v>
      </c>
      <c r="M3" s="4">
        <f>MEDIAN(I3:J3)</f>
        <v>7</v>
      </c>
      <c r="N3" s="4">
        <f>MAX(I3:J3)</f>
        <v>8</v>
      </c>
      <c r="O3" s="4">
        <f>MIN(I3:J3)</f>
        <v>6</v>
      </c>
      <c r="P3" s="4" t="str">
        <f>IF(N3&gt;=50,"VERY","NOT VERY")</f>
        <v>NOT VERY</v>
      </c>
      <c r="S3" s="4"/>
      <c r="T3" s="4" t="s">
        <v>25</v>
      </c>
      <c r="U3" s="4">
        <f>AVERAGEIF(A:A,"IKEJA",K:K)</f>
        <v>26.3939393939394</v>
      </c>
    </row>
    <row r="4" spans="1:21">
      <c r="A4" s="4" t="s">
        <v>17</v>
      </c>
      <c r="B4" s="4" t="s">
        <v>26</v>
      </c>
      <c r="C4" s="4">
        <v>6</v>
      </c>
      <c r="D4" s="4" t="s">
        <v>27</v>
      </c>
      <c r="E4" s="4" t="s">
        <v>24</v>
      </c>
      <c r="F4" s="4">
        <v>2016</v>
      </c>
      <c r="G4" s="4">
        <v>6.9</v>
      </c>
      <c r="H4" s="4">
        <v>4</v>
      </c>
      <c r="I4" s="4">
        <v>5</v>
      </c>
      <c r="J4" s="4">
        <v>12</v>
      </c>
      <c r="K4" s="7">
        <f>SUM(I4:J4)</f>
        <v>17</v>
      </c>
      <c r="L4" s="4">
        <f>AVERAGE(I4:J4)</f>
        <v>8.5</v>
      </c>
      <c r="M4" s="4">
        <f>MEDIAN(I4:J4)</f>
        <v>8.5</v>
      </c>
      <c r="N4" s="4">
        <f>MAX(I4:J4)</f>
        <v>12</v>
      </c>
      <c r="O4" s="4">
        <f>MIN(I4:J4)</f>
        <v>5</v>
      </c>
      <c r="P4" s="4" t="str">
        <f>IF(N4&gt;=50,"VERY","NOT VERY")</f>
        <v>NOT VERY</v>
      </c>
      <c r="S4" s="13"/>
      <c r="T4" s="13" t="s">
        <v>28</v>
      </c>
      <c r="U4" s="13">
        <f>AVERAGEIF(A:A,"Surulere",K:K)</f>
        <v>27.5</v>
      </c>
    </row>
    <row r="5" spans="1:21">
      <c r="A5" s="4" t="s">
        <v>17</v>
      </c>
      <c r="B5" s="4" t="s">
        <v>29</v>
      </c>
      <c r="C5" s="4">
        <v>4</v>
      </c>
      <c r="D5" s="4" t="s">
        <v>27</v>
      </c>
      <c r="E5" s="4" t="s">
        <v>24</v>
      </c>
      <c r="F5" s="4">
        <v>2016</v>
      </c>
      <c r="G5" s="4">
        <v>8.9</v>
      </c>
      <c r="H5" s="4">
        <v>6</v>
      </c>
      <c r="I5" s="4">
        <v>7</v>
      </c>
      <c r="J5" s="4">
        <v>24</v>
      </c>
      <c r="K5" s="7">
        <f>SUM(I5:J5)</f>
        <v>31</v>
      </c>
      <c r="L5" s="4">
        <f>AVERAGE(I5:J5)</f>
        <v>15.5</v>
      </c>
      <c r="M5" s="4">
        <f>MEDIAN(I5:J5)</f>
        <v>15.5</v>
      </c>
      <c r="N5" s="4">
        <f>MAX(I5:J5)</f>
        <v>24</v>
      </c>
      <c r="O5" s="4">
        <f>MIN(I5:J5)</f>
        <v>7</v>
      </c>
      <c r="P5" s="4" t="str">
        <f>IF(N5&gt;=50,"VERY","NOT VERY")</f>
        <v>NOT VERY</v>
      </c>
      <c r="S5" s="14"/>
      <c r="T5" s="14" t="s">
        <v>30</v>
      </c>
      <c r="U5" s="14">
        <f>AVERAGEIF(A:A,"Yaba",K:K)</f>
        <v>27.4545454545455</v>
      </c>
    </row>
    <row r="6" spans="1:22">
      <c r="A6" s="4" t="s">
        <v>17</v>
      </c>
      <c r="B6" s="4" t="s">
        <v>31</v>
      </c>
      <c r="C6" s="4">
        <v>5</v>
      </c>
      <c r="D6" s="4" t="s">
        <v>19</v>
      </c>
      <c r="E6" s="4" t="s">
        <v>24</v>
      </c>
      <c r="F6" s="4">
        <v>2019</v>
      </c>
      <c r="G6" s="4">
        <v>9.4</v>
      </c>
      <c r="H6" s="4">
        <v>4</v>
      </c>
      <c r="I6" s="4">
        <v>4</v>
      </c>
      <c r="J6" s="4">
        <v>12</v>
      </c>
      <c r="K6" s="7">
        <f>SUM(I6:J6)</f>
        <v>16</v>
      </c>
      <c r="L6" s="4">
        <f>AVERAGE(I6:J6)</f>
        <v>8</v>
      </c>
      <c r="M6" s="4">
        <f>MEDIAN(I6:J6)</f>
        <v>8</v>
      </c>
      <c r="N6" s="4">
        <f>MAX(I6:J6)</f>
        <v>12</v>
      </c>
      <c r="O6" s="4">
        <f>MIN(I6:J6)</f>
        <v>4</v>
      </c>
      <c r="P6" s="4" t="str">
        <f>IF(N6&gt;=50,"VERY","NOT VERY")</f>
        <v>NOT VERY</v>
      </c>
      <c r="S6" s="15"/>
      <c r="T6" s="15"/>
      <c r="U6" s="15"/>
      <c r="V6" s="15"/>
    </row>
    <row r="7" spans="1:16">
      <c r="A7" s="4" t="s">
        <v>17</v>
      </c>
      <c r="B7" s="4" t="s">
        <v>32</v>
      </c>
      <c r="C7" s="4">
        <v>9</v>
      </c>
      <c r="D7" s="4" t="s">
        <v>27</v>
      </c>
      <c r="E7" s="4" t="s">
        <v>24</v>
      </c>
      <c r="F7" s="4">
        <v>2020</v>
      </c>
      <c r="G7" s="4">
        <v>8.3</v>
      </c>
      <c r="H7" s="4">
        <v>7</v>
      </c>
      <c r="I7" s="4">
        <v>7</v>
      </c>
      <c r="J7" s="4">
        <v>28</v>
      </c>
      <c r="K7" s="7">
        <f>SUM(I7:J7)</f>
        <v>35</v>
      </c>
      <c r="L7" s="4">
        <f>AVERAGE(I7:J7)</f>
        <v>17.5</v>
      </c>
      <c r="M7" s="4">
        <f>MEDIAN(I7:J7)</f>
        <v>17.5</v>
      </c>
      <c r="N7" s="4">
        <f>MAX(I7:J7)</f>
        <v>28</v>
      </c>
      <c r="O7" s="4">
        <f>MIN(I7:J7)</f>
        <v>7</v>
      </c>
      <c r="P7" s="4" t="str">
        <f>IF(N7&gt;=50,"VERY","NOT VERY")</f>
        <v>NOT VERY</v>
      </c>
    </row>
    <row r="8" spans="1:16">
      <c r="A8" s="4" t="s">
        <v>17</v>
      </c>
      <c r="B8" s="4" t="s">
        <v>33</v>
      </c>
      <c r="C8" s="4">
        <v>7</v>
      </c>
      <c r="D8" s="4" t="s">
        <v>19</v>
      </c>
      <c r="E8" s="4" t="s">
        <v>24</v>
      </c>
      <c r="F8" s="4">
        <v>2017</v>
      </c>
      <c r="G8" s="4">
        <v>9.2</v>
      </c>
      <c r="H8" s="4">
        <v>5</v>
      </c>
      <c r="I8" s="4">
        <v>6</v>
      </c>
      <c r="J8" s="4">
        <v>25</v>
      </c>
      <c r="K8" s="7">
        <f>SUM(I8:J8)</f>
        <v>31</v>
      </c>
      <c r="L8" s="4">
        <f>AVERAGE(I8:J8)</f>
        <v>15.5</v>
      </c>
      <c r="M8" s="4">
        <f>MEDIAN(I8:J8)</f>
        <v>15.5</v>
      </c>
      <c r="N8" s="4">
        <f>MAX(I8:J8)</f>
        <v>25</v>
      </c>
      <c r="O8" s="4">
        <f>MIN(I8:J8)</f>
        <v>6</v>
      </c>
      <c r="P8" s="4" t="str">
        <f>IF(N8&gt;=50,"VERY","NOT VERY")</f>
        <v>NOT VERY</v>
      </c>
    </row>
    <row r="9" spans="1:16">
      <c r="A9" s="4" t="s">
        <v>17</v>
      </c>
      <c r="B9" s="4" t="s">
        <v>34</v>
      </c>
      <c r="C9" s="4">
        <v>10</v>
      </c>
      <c r="D9" s="4" t="s">
        <v>27</v>
      </c>
      <c r="E9" s="4" t="s">
        <v>20</v>
      </c>
      <c r="F9" s="4">
        <v>2023</v>
      </c>
      <c r="G9" s="4">
        <v>8.9</v>
      </c>
      <c r="H9" s="4">
        <v>2</v>
      </c>
      <c r="I9" s="4">
        <v>5</v>
      </c>
      <c r="J9" s="4">
        <v>8</v>
      </c>
      <c r="K9" s="7">
        <f>SUM(I9:J9)</f>
        <v>13</v>
      </c>
      <c r="L9" s="4">
        <f>AVERAGE(I9:J9)</f>
        <v>6.5</v>
      </c>
      <c r="M9" s="4">
        <f>MEDIAN(I9:J9)</f>
        <v>6.5</v>
      </c>
      <c r="N9" s="4">
        <f>MAX(I9:J9)</f>
        <v>8</v>
      </c>
      <c r="O9" s="4">
        <f>MIN(I9:J9)</f>
        <v>5</v>
      </c>
      <c r="P9" s="4" t="str">
        <f>IF(N9&gt;=50,"VERY","NOT VERY")</f>
        <v>NOT VERY</v>
      </c>
    </row>
    <row r="10" spans="1:16">
      <c r="A10" s="4" t="s">
        <v>17</v>
      </c>
      <c r="B10" s="4" t="s">
        <v>35</v>
      </c>
      <c r="C10" s="4">
        <v>8</v>
      </c>
      <c r="D10" s="4" t="s">
        <v>19</v>
      </c>
      <c r="E10" s="4" t="s">
        <v>24</v>
      </c>
      <c r="F10" s="4">
        <v>2016</v>
      </c>
      <c r="G10" s="4">
        <v>6.4</v>
      </c>
      <c r="H10" s="4">
        <v>10</v>
      </c>
      <c r="I10" s="4">
        <v>11</v>
      </c>
      <c r="J10" s="4">
        <v>50</v>
      </c>
      <c r="K10" s="7">
        <f>SUM(I10:J10)</f>
        <v>61</v>
      </c>
      <c r="L10" s="4">
        <f>AVERAGE(I10:J10)</f>
        <v>30.5</v>
      </c>
      <c r="M10" s="4">
        <f>MEDIAN(I10:J10)</f>
        <v>30.5</v>
      </c>
      <c r="N10" s="4">
        <f>MAX(I10:J10)</f>
        <v>50</v>
      </c>
      <c r="O10" s="4">
        <f>MIN(I10:J10)</f>
        <v>11</v>
      </c>
      <c r="P10" s="4" t="str">
        <f>IF(N10&gt;=50,"VERY","NOT VERY")</f>
        <v>VERY</v>
      </c>
    </row>
    <row r="11" spans="1:16">
      <c r="A11" s="4" t="s">
        <v>17</v>
      </c>
      <c r="B11" s="4" t="s">
        <v>36</v>
      </c>
      <c r="C11" s="4">
        <v>8</v>
      </c>
      <c r="D11" s="4" t="s">
        <v>27</v>
      </c>
      <c r="E11" s="4" t="s">
        <v>24</v>
      </c>
      <c r="F11" s="4">
        <v>2019</v>
      </c>
      <c r="G11" s="4">
        <v>9.3</v>
      </c>
      <c r="H11" s="4">
        <v>5</v>
      </c>
      <c r="I11" s="4">
        <v>5</v>
      </c>
      <c r="J11" s="4">
        <v>25</v>
      </c>
      <c r="K11" s="7">
        <f>SUM(I11:J11)</f>
        <v>30</v>
      </c>
      <c r="L11" s="4">
        <f>AVERAGE(I11:J11)</f>
        <v>15</v>
      </c>
      <c r="M11" s="4">
        <f>MEDIAN(I11:J11)</f>
        <v>15</v>
      </c>
      <c r="N11" s="4">
        <f>MAX(I11:J11)</f>
        <v>25</v>
      </c>
      <c r="O11" s="4">
        <f>MIN(I11:J11)</f>
        <v>5</v>
      </c>
      <c r="P11" s="4" t="str">
        <f>IF(N11&gt;=50,"VERY","NOT VERY")</f>
        <v>NOT VERY</v>
      </c>
    </row>
    <row r="12" spans="1:16">
      <c r="A12" s="4" t="s">
        <v>17</v>
      </c>
      <c r="B12" s="4" t="s">
        <v>37</v>
      </c>
      <c r="C12" s="4">
        <v>15</v>
      </c>
      <c r="D12" s="4" t="s">
        <v>19</v>
      </c>
      <c r="E12" s="4" t="s">
        <v>24</v>
      </c>
      <c r="F12" s="4">
        <v>2015</v>
      </c>
      <c r="G12" s="4">
        <v>7.2</v>
      </c>
      <c r="H12" s="4">
        <v>8</v>
      </c>
      <c r="I12" s="4">
        <v>10</v>
      </c>
      <c r="J12" s="4">
        <v>16</v>
      </c>
      <c r="K12" s="7">
        <f>SUM(I12:J12)</f>
        <v>26</v>
      </c>
      <c r="L12" s="4">
        <f>AVERAGE(I12:J12)</f>
        <v>13</v>
      </c>
      <c r="M12" s="4">
        <f>MEDIAN(I12:J12)</f>
        <v>13</v>
      </c>
      <c r="N12" s="4">
        <f>MAX(I12:J12)</f>
        <v>16</v>
      </c>
      <c r="O12" s="4">
        <f>MIN(I12:J12)</f>
        <v>10</v>
      </c>
      <c r="P12" s="4" t="str">
        <f>IF(N12&gt;=50,"VERY","NOT VERY")</f>
        <v>NOT VERY</v>
      </c>
    </row>
    <row r="13" spans="1:16">
      <c r="A13" s="4" t="s">
        <v>17</v>
      </c>
      <c r="B13" s="4" t="s">
        <v>38</v>
      </c>
      <c r="C13" s="4">
        <v>5</v>
      </c>
      <c r="D13" s="4" t="s">
        <v>27</v>
      </c>
      <c r="E13" s="4" t="s">
        <v>20</v>
      </c>
      <c r="F13" s="4">
        <v>2021</v>
      </c>
      <c r="G13" s="4">
        <v>8.9</v>
      </c>
      <c r="H13" s="4">
        <v>2</v>
      </c>
      <c r="I13" s="4">
        <v>4</v>
      </c>
      <c r="J13" s="4">
        <v>4</v>
      </c>
      <c r="K13" s="7">
        <f>SUM(I13:J13)</f>
        <v>8</v>
      </c>
      <c r="L13" s="4">
        <f>AVERAGE(I13:J13)</f>
        <v>4</v>
      </c>
      <c r="M13" s="4">
        <f>MEDIAN(I13:J13)</f>
        <v>4</v>
      </c>
      <c r="N13" s="4">
        <f>MAX(I13:J13)</f>
        <v>4</v>
      </c>
      <c r="O13" s="4">
        <f>MIN(I13:J13)</f>
        <v>4</v>
      </c>
      <c r="P13" s="4" t="str">
        <f>IF(N13&gt;=50,"VERY","NOT VERY")</f>
        <v>NOT VERY</v>
      </c>
    </row>
    <row r="14" spans="1:16">
      <c r="A14" s="4" t="s">
        <v>17</v>
      </c>
      <c r="B14" s="4" t="s">
        <v>39</v>
      </c>
      <c r="C14" s="4">
        <v>11</v>
      </c>
      <c r="D14" s="4" t="s">
        <v>27</v>
      </c>
      <c r="E14" s="4" t="s">
        <v>24</v>
      </c>
      <c r="F14" s="4">
        <v>2019</v>
      </c>
      <c r="G14" s="4">
        <v>6.5</v>
      </c>
      <c r="H14" s="4">
        <v>6</v>
      </c>
      <c r="I14" s="4">
        <v>9</v>
      </c>
      <c r="J14" s="4">
        <v>18</v>
      </c>
      <c r="K14" s="7">
        <f>SUM(I14:J14)</f>
        <v>27</v>
      </c>
      <c r="L14" s="4">
        <f>AVERAGE(I14:J14)</f>
        <v>13.5</v>
      </c>
      <c r="M14" s="4">
        <f>MEDIAN(I14:J14)</f>
        <v>13.5</v>
      </c>
      <c r="N14" s="4">
        <f>MAX(I14:J14)</f>
        <v>18</v>
      </c>
      <c r="O14" s="4">
        <f>MIN(I14:J14)</f>
        <v>9</v>
      </c>
      <c r="P14" s="4" t="str">
        <f>IF(N14&gt;=50,"VERY","NOT VERY")</f>
        <v>NOT VERY</v>
      </c>
    </row>
    <row r="15" spans="1:16">
      <c r="A15" s="4" t="s">
        <v>17</v>
      </c>
      <c r="B15" s="4" t="s">
        <v>40</v>
      </c>
      <c r="C15" s="4">
        <v>9</v>
      </c>
      <c r="D15" s="4" t="s">
        <v>19</v>
      </c>
      <c r="E15" s="4" t="s">
        <v>24</v>
      </c>
      <c r="F15" s="4">
        <v>2020</v>
      </c>
      <c r="G15" s="4">
        <v>7</v>
      </c>
      <c r="H15" s="4">
        <v>9</v>
      </c>
      <c r="I15" s="4">
        <v>9</v>
      </c>
      <c r="J15" s="4">
        <v>36</v>
      </c>
      <c r="K15" s="7">
        <f>SUM(I15:J15)</f>
        <v>45</v>
      </c>
      <c r="L15" s="4">
        <f>AVERAGE(I15:J15)</f>
        <v>22.5</v>
      </c>
      <c r="M15" s="4">
        <f>MEDIAN(I15:J15)</f>
        <v>22.5</v>
      </c>
      <c r="N15" s="4">
        <f>MAX(I15:J15)</f>
        <v>36</v>
      </c>
      <c r="O15" s="4">
        <f>MIN(I15:J15)</f>
        <v>9</v>
      </c>
      <c r="P15" s="4" t="str">
        <f>IF(N15&gt;=50,"VERY","NOT VERY")</f>
        <v>NOT VERY</v>
      </c>
    </row>
    <row r="16" spans="1:16">
      <c r="A16" s="4" t="s">
        <v>17</v>
      </c>
      <c r="B16" s="4" t="s">
        <v>41</v>
      </c>
      <c r="C16" s="4">
        <v>10</v>
      </c>
      <c r="D16" s="4" t="s">
        <v>27</v>
      </c>
      <c r="E16" s="4" t="s">
        <v>24</v>
      </c>
      <c r="F16" s="4">
        <v>2019</v>
      </c>
      <c r="G16" s="4">
        <v>6.2</v>
      </c>
      <c r="H16" s="4">
        <v>6</v>
      </c>
      <c r="I16" s="4">
        <v>7</v>
      </c>
      <c r="J16" s="4">
        <v>24</v>
      </c>
      <c r="K16" s="7">
        <f>SUM(I16:J16)</f>
        <v>31</v>
      </c>
      <c r="L16" s="4">
        <f>AVERAGE(I16:J16)</f>
        <v>15.5</v>
      </c>
      <c r="M16" s="4">
        <f>MEDIAN(I16:J16)</f>
        <v>15.5</v>
      </c>
      <c r="N16" s="4">
        <f>MAX(I16:J16)</f>
        <v>24</v>
      </c>
      <c r="O16" s="4">
        <f>MIN(I16:J16)</f>
        <v>7</v>
      </c>
      <c r="P16" s="4" t="str">
        <f>IF(N16&gt;=50,"VERY","NOT VERY")</f>
        <v>NOT VERY</v>
      </c>
    </row>
    <row r="17" spans="1:16">
      <c r="A17" s="4" t="s">
        <v>17</v>
      </c>
      <c r="B17" s="4" t="s">
        <v>42</v>
      </c>
      <c r="C17" s="4">
        <v>3</v>
      </c>
      <c r="D17" s="4" t="s">
        <v>19</v>
      </c>
      <c r="E17" s="4" t="s">
        <v>24</v>
      </c>
      <c r="F17" s="4">
        <v>2015</v>
      </c>
      <c r="G17" s="4">
        <v>6.2</v>
      </c>
      <c r="H17" s="4">
        <v>9</v>
      </c>
      <c r="I17" s="4">
        <v>10</v>
      </c>
      <c r="J17" s="4">
        <v>18</v>
      </c>
      <c r="K17" s="7">
        <f>SUM(I17:J17)</f>
        <v>28</v>
      </c>
      <c r="L17" s="4">
        <f>AVERAGE(I17:J17)</f>
        <v>14</v>
      </c>
      <c r="M17" s="4">
        <f>MEDIAN(I17:J17)</f>
        <v>14</v>
      </c>
      <c r="N17" s="4">
        <f>MAX(I17:J17)</f>
        <v>18</v>
      </c>
      <c r="O17" s="4">
        <f>MIN(I17:J17)</f>
        <v>10</v>
      </c>
      <c r="P17" s="4" t="str">
        <f>IF(N17&gt;=50,"VERY","NOT VERY")</f>
        <v>NOT VERY</v>
      </c>
    </row>
    <row r="18" spans="1:16">
      <c r="A18" s="4" t="s">
        <v>17</v>
      </c>
      <c r="B18" s="4" t="s">
        <v>43</v>
      </c>
      <c r="C18" s="4">
        <v>4</v>
      </c>
      <c r="D18" s="4" t="s">
        <v>27</v>
      </c>
      <c r="E18" s="4" t="s">
        <v>20</v>
      </c>
      <c r="F18" s="4">
        <v>2021</v>
      </c>
      <c r="G18" s="4">
        <v>9</v>
      </c>
      <c r="H18" s="4">
        <v>4</v>
      </c>
      <c r="I18" s="4">
        <v>5</v>
      </c>
      <c r="J18" s="4">
        <v>20</v>
      </c>
      <c r="K18" s="7">
        <f>SUM(I18:J18)</f>
        <v>25</v>
      </c>
      <c r="L18" s="4">
        <f>AVERAGE(I18:J18)</f>
        <v>12.5</v>
      </c>
      <c r="M18" s="4">
        <f>MEDIAN(I18:J18)</f>
        <v>12.5</v>
      </c>
      <c r="N18" s="4">
        <f>MAX(I18:J18)</f>
        <v>20</v>
      </c>
      <c r="O18" s="4">
        <f>MIN(I18:J18)</f>
        <v>5</v>
      </c>
      <c r="P18" s="4" t="str">
        <f>IF(N18&gt;=50,"VERY","NOT VERY")</f>
        <v>NOT VERY</v>
      </c>
    </row>
    <row r="19" spans="1:16">
      <c r="A19" s="4" t="s">
        <v>17</v>
      </c>
      <c r="B19" s="4" t="s">
        <v>44</v>
      </c>
      <c r="C19" s="4">
        <v>13</v>
      </c>
      <c r="D19" s="4" t="s">
        <v>19</v>
      </c>
      <c r="E19" s="4" t="s">
        <v>24</v>
      </c>
      <c r="F19" s="4">
        <v>2016</v>
      </c>
      <c r="G19" s="4">
        <v>7.6</v>
      </c>
      <c r="H19" s="4">
        <v>8</v>
      </c>
      <c r="I19" s="4">
        <v>11</v>
      </c>
      <c r="J19" s="4">
        <v>40</v>
      </c>
      <c r="K19" s="7">
        <f>SUM(I19:J19)</f>
        <v>51</v>
      </c>
      <c r="L19" s="4">
        <f>AVERAGE(I19:J19)</f>
        <v>25.5</v>
      </c>
      <c r="M19" s="4">
        <f>MEDIAN(I19:J19)</f>
        <v>25.5</v>
      </c>
      <c r="N19" s="4">
        <f>MAX(I19:J19)</f>
        <v>40</v>
      </c>
      <c r="O19" s="4">
        <f>MIN(I19:J19)</f>
        <v>11</v>
      </c>
      <c r="P19" s="4" t="str">
        <f>IF(N19&gt;=50,"VERY","NOT VERY")</f>
        <v>NOT VERY</v>
      </c>
    </row>
    <row r="20" spans="1:16">
      <c r="A20" s="4" t="s">
        <v>17</v>
      </c>
      <c r="B20" s="4" t="s">
        <v>45</v>
      </c>
      <c r="C20" s="4">
        <v>9</v>
      </c>
      <c r="D20" s="4" t="s">
        <v>27</v>
      </c>
      <c r="E20" s="4" t="s">
        <v>24</v>
      </c>
      <c r="F20" s="4">
        <v>2021</v>
      </c>
      <c r="G20" s="4">
        <v>6.5</v>
      </c>
      <c r="H20" s="4">
        <v>3</v>
      </c>
      <c r="I20" s="4">
        <v>6</v>
      </c>
      <c r="J20" s="4">
        <v>12</v>
      </c>
      <c r="K20" s="7">
        <f>SUM(I20:J20)</f>
        <v>18</v>
      </c>
      <c r="L20" s="4">
        <f>AVERAGE(I20:J20)</f>
        <v>9</v>
      </c>
      <c r="M20" s="4">
        <f>MEDIAN(I20:J20)</f>
        <v>9</v>
      </c>
      <c r="N20" s="4">
        <f>MAX(I20:J20)</f>
        <v>12</v>
      </c>
      <c r="O20" s="4">
        <f>MIN(I20:J20)</f>
        <v>6</v>
      </c>
      <c r="P20" s="4" t="str">
        <f>IF(N20&gt;=50,"VERY","NOT VERY")</f>
        <v>NOT VERY</v>
      </c>
    </row>
    <row r="21" spans="1:16">
      <c r="A21" s="4" t="s">
        <v>17</v>
      </c>
      <c r="B21" s="4" t="s">
        <v>46</v>
      </c>
      <c r="C21" s="4">
        <v>12</v>
      </c>
      <c r="D21" s="4" t="s">
        <v>27</v>
      </c>
      <c r="E21" s="4" t="s">
        <v>24</v>
      </c>
      <c r="F21" s="4">
        <v>2016</v>
      </c>
      <c r="G21" s="4">
        <v>8.5</v>
      </c>
      <c r="H21" s="4">
        <v>7</v>
      </c>
      <c r="I21" s="4">
        <v>7</v>
      </c>
      <c r="J21" s="4">
        <v>35</v>
      </c>
      <c r="K21" s="7">
        <f>SUM(I21:J21)</f>
        <v>42</v>
      </c>
      <c r="L21" s="4">
        <f>AVERAGE(I21:J21)</f>
        <v>21</v>
      </c>
      <c r="M21" s="4">
        <f>MEDIAN(I21:J21)</f>
        <v>21</v>
      </c>
      <c r="N21" s="4">
        <f>MAX(I21:J21)</f>
        <v>35</v>
      </c>
      <c r="O21" s="4">
        <f>MIN(I21:J21)</f>
        <v>7</v>
      </c>
      <c r="P21" s="4" t="str">
        <f>IF(N21&gt;=50,"VERY","NOT VERY")</f>
        <v>NOT VERY</v>
      </c>
    </row>
    <row r="22" spans="1:16">
      <c r="A22" s="4" t="s">
        <v>17</v>
      </c>
      <c r="B22" s="4" t="s">
        <v>47</v>
      </c>
      <c r="C22" s="4">
        <v>10</v>
      </c>
      <c r="D22" s="4" t="s">
        <v>19</v>
      </c>
      <c r="E22" s="4" t="s">
        <v>20</v>
      </c>
      <c r="F22" s="4">
        <v>2020</v>
      </c>
      <c r="G22" s="4">
        <v>10.6</v>
      </c>
      <c r="H22" s="4">
        <v>4</v>
      </c>
      <c r="I22" s="4">
        <v>7</v>
      </c>
      <c r="J22" s="4">
        <v>20</v>
      </c>
      <c r="K22" s="7">
        <f>SUM(I22:J22)</f>
        <v>27</v>
      </c>
      <c r="L22" s="4">
        <f>AVERAGE(I22:J22)</f>
        <v>13.5</v>
      </c>
      <c r="M22" s="4">
        <f>MEDIAN(I22:J22)</f>
        <v>13.5</v>
      </c>
      <c r="N22" s="4">
        <f>MAX(I22:J22)</f>
        <v>20</v>
      </c>
      <c r="O22" s="4">
        <f>MIN(I22:J22)</f>
        <v>7</v>
      </c>
      <c r="P22" s="4" t="str">
        <f>IF(N22&gt;=50,"VERY","NOT VERY")</f>
        <v>NOT VERY</v>
      </c>
    </row>
    <row r="23" spans="1:16">
      <c r="A23" s="4" t="s">
        <v>17</v>
      </c>
      <c r="B23" s="4" t="s">
        <v>48</v>
      </c>
      <c r="C23" s="4">
        <v>10</v>
      </c>
      <c r="D23" s="4" t="s">
        <v>19</v>
      </c>
      <c r="E23" s="4" t="s">
        <v>20</v>
      </c>
      <c r="F23" s="4">
        <v>2022</v>
      </c>
      <c r="G23" s="4">
        <v>10.6</v>
      </c>
      <c r="H23" s="4">
        <v>4</v>
      </c>
      <c r="I23" s="4">
        <v>7</v>
      </c>
      <c r="J23" s="4">
        <v>12</v>
      </c>
      <c r="K23" s="7">
        <f>SUM(I23:J23)</f>
        <v>19</v>
      </c>
      <c r="L23" s="4">
        <f>AVERAGE(I23:J23)</f>
        <v>9.5</v>
      </c>
      <c r="M23" s="4">
        <f>MEDIAN(I23:J23)</f>
        <v>9.5</v>
      </c>
      <c r="N23" s="4">
        <f>MAX(I23:J23)</f>
        <v>12</v>
      </c>
      <c r="O23" s="4">
        <f>MIN(I23:J23)</f>
        <v>7</v>
      </c>
      <c r="P23" s="4" t="str">
        <f>IF(N23&gt;=50,"VERY","NOT VERY")</f>
        <v>NOT VERY</v>
      </c>
    </row>
    <row r="24" spans="1:16">
      <c r="A24" s="4" t="s">
        <v>17</v>
      </c>
      <c r="B24" s="4" t="s">
        <v>49</v>
      </c>
      <c r="C24" s="4">
        <v>6</v>
      </c>
      <c r="D24" s="4" t="s">
        <v>27</v>
      </c>
      <c r="E24" s="4" t="s">
        <v>20</v>
      </c>
      <c r="F24" s="4">
        <v>2022</v>
      </c>
      <c r="G24" s="4">
        <v>10.9</v>
      </c>
      <c r="H24" s="4">
        <v>0</v>
      </c>
      <c r="I24" s="4">
        <v>3</v>
      </c>
      <c r="J24" s="4">
        <v>0</v>
      </c>
      <c r="K24" s="7">
        <f>SUM(I24:J24)</f>
        <v>3</v>
      </c>
      <c r="L24" s="4">
        <f>AVERAGE(I24:J24)</f>
        <v>1.5</v>
      </c>
      <c r="M24" s="4">
        <f>MEDIAN(I24:J24)</f>
        <v>1.5</v>
      </c>
      <c r="N24" s="4">
        <f>MAX(I24:J24)</f>
        <v>3</v>
      </c>
      <c r="O24" s="4">
        <f>MIN(I24:J24)</f>
        <v>0</v>
      </c>
      <c r="P24" s="4" t="str">
        <f>IF(N24&gt;=50,"VERY","NOT VERY")</f>
        <v>NOT VERY</v>
      </c>
    </row>
    <row r="25" spans="1:16">
      <c r="A25" s="4" t="s">
        <v>17</v>
      </c>
      <c r="B25" s="4" t="s">
        <v>50</v>
      </c>
      <c r="C25" s="4">
        <v>15</v>
      </c>
      <c r="D25" s="4" t="s">
        <v>27</v>
      </c>
      <c r="E25" s="4" t="s">
        <v>24</v>
      </c>
      <c r="F25" s="4">
        <v>2016</v>
      </c>
      <c r="G25" s="4">
        <v>6.7</v>
      </c>
      <c r="H25" s="4">
        <v>10</v>
      </c>
      <c r="I25" s="4">
        <v>13</v>
      </c>
      <c r="J25" s="4">
        <v>50</v>
      </c>
      <c r="K25" s="7">
        <f>SUM(I25:J25)</f>
        <v>63</v>
      </c>
      <c r="L25" s="4">
        <f>AVERAGE(I25:J25)</f>
        <v>31.5</v>
      </c>
      <c r="M25" s="4">
        <f>MEDIAN(I25:J25)</f>
        <v>31.5</v>
      </c>
      <c r="N25" s="4">
        <f>MAX(I25:J25)</f>
        <v>50</v>
      </c>
      <c r="O25" s="4">
        <f>MIN(I25:J25)</f>
        <v>13</v>
      </c>
      <c r="P25" s="4" t="str">
        <f>IF(N25&gt;=50,"VERY","NOT VERY")</f>
        <v>VERY</v>
      </c>
    </row>
    <row r="26" spans="1:16">
      <c r="A26" s="4" t="s">
        <v>17</v>
      </c>
      <c r="B26" s="4" t="s">
        <v>51</v>
      </c>
      <c r="C26" s="4">
        <v>4</v>
      </c>
      <c r="D26" s="4" t="s">
        <v>27</v>
      </c>
      <c r="E26" s="4" t="s">
        <v>20</v>
      </c>
      <c r="F26" s="4">
        <v>2023</v>
      </c>
      <c r="G26" s="4">
        <v>10.6</v>
      </c>
      <c r="H26" s="4">
        <v>4</v>
      </c>
      <c r="I26" s="4">
        <v>5</v>
      </c>
      <c r="J26" s="4">
        <v>8</v>
      </c>
      <c r="K26" s="7">
        <f>SUM(I26:J26)</f>
        <v>13</v>
      </c>
      <c r="L26" s="4">
        <f>AVERAGE(I26:J26)</f>
        <v>6.5</v>
      </c>
      <c r="M26" s="4">
        <f>MEDIAN(I26:J26)</f>
        <v>6.5</v>
      </c>
      <c r="N26" s="4">
        <f>MAX(I26:J26)</f>
        <v>8</v>
      </c>
      <c r="O26" s="4">
        <f>MIN(I26:J26)</f>
        <v>5</v>
      </c>
      <c r="P26" s="4" t="str">
        <f>IF(N26&gt;=50,"VERY","NOT VERY")</f>
        <v>NOT VERY</v>
      </c>
    </row>
    <row r="27" spans="1:16">
      <c r="A27" s="4" t="s">
        <v>17</v>
      </c>
      <c r="B27" s="4" t="s">
        <v>52</v>
      </c>
      <c r="C27" s="4">
        <v>13</v>
      </c>
      <c r="D27" s="4" t="s">
        <v>19</v>
      </c>
      <c r="E27" s="4" t="s">
        <v>24</v>
      </c>
      <c r="F27" s="4">
        <v>2022</v>
      </c>
      <c r="G27" s="4">
        <v>8.8</v>
      </c>
      <c r="H27" s="4">
        <v>5</v>
      </c>
      <c r="I27" s="4">
        <v>5</v>
      </c>
      <c r="J27" s="4">
        <v>25</v>
      </c>
      <c r="K27" s="7">
        <f>SUM(I27:J27)</f>
        <v>30</v>
      </c>
      <c r="L27" s="4">
        <f>AVERAGE(I27:J27)</f>
        <v>15</v>
      </c>
      <c r="M27" s="4">
        <f>MEDIAN(I27:J27)</f>
        <v>15</v>
      </c>
      <c r="N27" s="4">
        <f>MAX(I27:J27)</f>
        <v>25</v>
      </c>
      <c r="O27" s="4">
        <f>MIN(I27:J27)</f>
        <v>5</v>
      </c>
      <c r="P27" s="4" t="str">
        <f>IF(N27&gt;=50,"VERY","NOT VERY")</f>
        <v>NOT VERY</v>
      </c>
    </row>
    <row r="28" spans="1:16">
      <c r="A28" s="4" t="s">
        <v>17</v>
      </c>
      <c r="B28" s="4" t="s">
        <v>53</v>
      </c>
      <c r="C28" s="4">
        <v>14</v>
      </c>
      <c r="D28" s="4" t="s">
        <v>19</v>
      </c>
      <c r="E28" s="4" t="s">
        <v>20</v>
      </c>
      <c r="F28" s="4">
        <v>2016</v>
      </c>
      <c r="G28" s="4">
        <v>10.2</v>
      </c>
      <c r="H28" s="4">
        <v>1</v>
      </c>
      <c r="I28" s="4">
        <v>4</v>
      </c>
      <c r="J28" s="4">
        <v>3</v>
      </c>
      <c r="K28" s="7">
        <f>SUM(I28:J28)</f>
        <v>7</v>
      </c>
      <c r="L28" s="4">
        <f>AVERAGE(I28:J28)</f>
        <v>3.5</v>
      </c>
      <c r="M28" s="4">
        <f>MEDIAN(I28:J28)</f>
        <v>3.5</v>
      </c>
      <c r="N28" s="4">
        <f>MAX(I28:J28)</f>
        <v>4</v>
      </c>
      <c r="O28" s="4">
        <f>MIN(I28:J28)</f>
        <v>3</v>
      </c>
      <c r="P28" s="4" t="str">
        <f>IF(N28&gt;=50,"VERY","NOT VERY")</f>
        <v>NOT VERY</v>
      </c>
    </row>
    <row r="29" spans="1:16">
      <c r="A29" s="4" t="s">
        <v>17</v>
      </c>
      <c r="B29" s="4" t="s">
        <v>54</v>
      </c>
      <c r="C29" s="4">
        <v>7</v>
      </c>
      <c r="D29" s="4" t="s">
        <v>27</v>
      </c>
      <c r="E29" s="4" t="s">
        <v>20</v>
      </c>
      <c r="F29" s="4">
        <v>2021</v>
      </c>
      <c r="G29" s="4">
        <v>8.6</v>
      </c>
      <c r="H29" s="4">
        <v>1</v>
      </c>
      <c r="I29" s="4">
        <v>2</v>
      </c>
      <c r="J29" s="4">
        <v>5</v>
      </c>
      <c r="K29" s="7">
        <f>SUM(I29:J29)</f>
        <v>7</v>
      </c>
      <c r="L29" s="4">
        <f>AVERAGE(I29:J29)</f>
        <v>3.5</v>
      </c>
      <c r="M29" s="4">
        <f>MEDIAN(I29:J29)</f>
        <v>3.5</v>
      </c>
      <c r="N29" s="4">
        <f>MAX(I29:J29)</f>
        <v>5</v>
      </c>
      <c r="O29" s="4">
        <f>MIN(I29:J29)</f>
        <v>2</v>
      </c>
      <c r="P29" s="4" t="str">
        <f>IF(N29&gt;=50,"VERY","NOT VERY")</f>
        <v>NOT VERY</v>
      </c>
    </row>
    <row r="30" spans="1:16">
      <c r="A30" s="4" t="s">
        <v>17</v>
      </c>
      <c r="B30" s="4" t="s">
        <v>55</v>
      </c>
      <c r="C30" s="4">
        <v>8</v>
      </c>
      <c r="D30" s="4" t="s">
        <v>27</v>
      </c>
      <c r="E30" s="4" t="s">
        <v>24</v>
      </c>
      <c r="F30" s="4">
        <v>2021</v>
      </c>
      <c r="G30" s="4">
        <v>6.1</v>
      </c>
      <c r="H30" s="4">
        <v>10</v>
      </c>
      <c r="I30" s="4">
        <v>11</v>
      </c>
      <c r="J30" s="4">
        <v>30</v>
      </c>
      <c r="K30" s="7">
        <f>SUM(I30:J30)</f>
        <v>41</v>
      </c>
      <c r="L30" s="4">
        <f>AVERAGE(I30:J30)</f>
        <v>20.5</v>
      </c>
      <c r="M30" s="4">
        <f>MEDIAN(I30:J30)</f>
        <v>20.5</v>
      </c>
      <c r="N30" s="4">
        <f>MAX(I30:J30)</f>
        <v>30</v>
      </c>
      <c r="O30" s="4">
        <f>MIN(I30:J30)</f>
        <v>11</v>
      </c>
      <c r="P30" s="4" t="str">
        <f>IF(N30&gt;=50,"VERY","NOT VERY")</f>
        <v>NOT VERY</v>
      </c>
    </row>
    <row r="31" spans="1:16">
      <c r="A31" s="4" t="s">
        <v>17</v>
      </c>
      <c r="B31" s="4" t="s">
        <v>56</v>
      </c>
      <c r="C31" s="4">
        <v>15</v>
      </c>
      <c r="D31" s="4" t="s">
        <v>19</v>
      </c>
      <c r="E31" s="4" t="s">
        <v>24</v>
      </c>
      <c r="F31" s="4">
        <v>2018</v>
      </c>
      <c r="G31" s="4">
        <v>7.8</v>
      </c>
      <c r="H31" s="4">
        <v>10</v>
      </c>
      <c r="I31" s="4">
        <v>13</v>
      </c>
      <c r="J31" s="4">
        <v>40</v>
      </c>
      <c r="K31" s="7">
        <f>SUM(I31:J31)</f>
        <v>53</v>
      </c>
      <c r="L31" s="4">
        <f>AVERAGE(I31:J31)</f>
        <v>26.5</v>
      </c>
      <c r="M31" s="4">
        <f>MEDIAN(I31:J31)</f>
        <v>26.5</v>
      </c>
      <c r="N31" s="4">
        <f>MAX(I31:J31)</f>
        <v>40</v>
      </c>
      <c r="O31" s="4">
        <f>MIN(I31:J31)</f>
        <v>13</v>
      </c>
      <c r="P31" s="4" t="str">
        <f>IF(N31&gt;=50,"VERY","NOT VERY")</f>
        <v>NOT VERY</v>
      </c>
    </row>
    <row r="32" spans="1:16">
      <c r="A32" s="4" t="s">
        <v>17</v>
      </c>
      <c r="B32" s="4" t="s">
        <v>57</v>
      </c>
      <c r="C32" s="4">
        <v>14</v>
      </c>
      <c r="D32" s="4" t="s">
        <v>27</v>
      </c>
      <c r="E32" s="4" t="s">
        <v>24</v>
      </c>
      <c r="F32" s="4">
        <v>2021</v>
      </c>
      <c r="G32" s="4">
        <v>7.7</v>
      </c>
      <c r="H32" s="4">
        <v>10</v>
      </c>
      <c r="I32" s="4">
        <v>11</v>
      </c>
      <c r="J32" s="4">
        <v>20</v>
      </c>
      <c r="K32" s="7">
        <f>SUM(I32:J32)</f>
        <v>31</v>
      </c>
      <c r="L32" s="4">
        <f>AVERAGE(I32:J32)</f>
        <v>15.5</v>
      </c>
      <c r="M32" s="4">
        <f>MEDIAN(I32:J32)</f>
        <v>15.5</v>
      </c>
      <c r="N32" s="4">
        <f>MAX(I32:J32)</f>
        <v>20</v>
      </c>
      <c r="O32" s="4">
        <f>MIN(I32:J32)</f>
        <v>11</v>
      </c>
      <c r="P32" s="4" t="str">
        <f>IF(N32&gt;=50,"VERY","NOT VERY")</f>
        <v>NOT VERY</v>
      </c>
    </row>
    <row r="33" spans="1:16">
      <c r="A33" s="4" t="s">
        <v>17</v>
      </c>
      <c r="B33" s="4" t="s">
        <v>58</v>
      </c>
      <c r="C33" s="4">
        <v>4</v>
      </c>
      <c r="D33" s="4" t="s">
        <v>19</v>
      </c>
      <c r="E33" s="4" t="s">
        <v>24</v>
      </c>
      <c r="F33" s="4">
        <v>2017</v>
      </c>
      <c r="G33" s="4">
        <v>7.5</v>
      </c>
      <c r="H33" s="4">
        <v>8</v>
      </c>
      <c r="I33" s="4">
        <v>9</v>
      </c>
      <c r="J33" s="4">
        <v>16</v>
      </c>
      <c r="K33" s="7">
        <f>SUM(I33:J33)</f>
        <v>25</v>
      </c>
      <c r="L33" s="4">
        <f>AVERAGE(I33:J33)</f>
        <v>12.5</v>
      </c>
      <c r="M33" s="4">
        <f>MEDIAN(I33:J33)</f>
        <v>12.5</v>
      </c>
      <c r="N33" s="4">
        <f>MAX(I33:J33)</f>
        <v>16</v>
      </c>
      <c r="O33" s="4">
        <f>MIN(I33:J33)</f>
        <v>9</v>
      </c>
      <c r="P33" s="4" t="str">
        <f>IF(N33&gt;=50,"VERY","NOT VERY")</f>
        <v>NOT VERY</v>
      </c>
    </row>
    <row r="34" spans="1:16">
      <c r="A34" s="4" t="s">
        <v>17</v>
      </c>
      <c r="B34" s="4" t="s">
        <v>59</v>
      </c>
      <c r="C34" s="4">
        <v>5</v>
      </c>
      <c r="D34" s="4" t="s">
        <v>19</v>
      </c>
      <c r="E34" s="4" t="s">
        <v>20</v>
      </c>
      <c r="F34" s="4">
        <v>2016</v>
      </c>
      <c r="G34" s="4">
        <v>9.7</v>
      </c>
      <c r="H34" s="4">
        <v>3</v>
      </c>
      <c r="I34" s="4">
        <v>5</v>
      </c>
      <c r="J34" s="4">
        <v>6</v>
      </c>
      <c r="K34" s="7">
        <f>SUM(I34:J34)</f>
        <v>11</v>
      </c>
      <c r="L34" s="4">
        <f>AVERAGE(I34:J34)</f>
        <v>5.5</v>
      </c>
      <c r="M34" s="4">
        <f>MEDIAN(I34:J34)</f>
        <v>5.5</v>
      </c>
      <c r="N34" s="4">
        <f>MAX(I34:J34)</f>
        <v>6</v>
      </c>
      <c r="O34" s="4">
        <f>MIN(I34:J34)</f>
        <v>5</v>
      </c>
      <c r="P34" s="4" t="str">
        <f>IF(N34&gt;=50,"VERY","NOT VERY")</f>
        <v>NOT VERY</v>
      </c>
    </row>
    <row r="35" spans="1:16">
      <c r="A35" s="4" t="s">
        <v>60</v>
      </c>
      <c r="B35" s="4" t="s">
        <v>61</v>
      </c>
      <c r="C35" s="4">
        <v>11</v>
      </c>
      <c r="D35" s="4" t="s">
        <v>19</v>
      </c>
      <c r="E35" s="4" t="s">
        <v>24</v>
      </c>
      <c r="F35" s="4">
        <v>2016</v>
      </c>
      <c r="G35" s="4">
        <v>7.7</v>
      </c>
      <c r="H35" s="4">
        <v>9</v>
      </c>
      <c r="I35" s="4">
        <v>11</v>
      </c>
      <c r="J35" s="4">
        <v>45</v>
      </c>
      <c r="K35" s="7">
        <f>SUM(I35:J35)</f>
        <v>56</v>
      </c>
      <c r="L35" s="4">
        <f>AVERAGE(I35:J35)</f>
        <v>28</v>
      </c>
      <c r="M35" s="4">
        <f>MEDIAN(I35:J35)</f>
        <v>28</v>
      </c>
      <c r="N35" s="4">
        <f>MAX(I35:J35)</f>
        <v>45</v>
      </c>
      <c r="O35" s="4">
        <f>MIN(I35:J35)</f>
        <v>11</v>
      </c>
      <c r="P35" s="4" t="str">
        <f>IF(N35&gt;=50,"VERY","NOT VERY")</f>
        <v>NOT VERY</v>
      </c>
    </row>
    <row r="36" spans="1:16">
      <c r="A36" s="4" t="s">
        <v>60</v>
      </c>
      <c r="B36" s="4" t="s">
        <v>62</v>
      </c>
      <c r="C36" s="4">
        <v>11</v>
      </c>
      <c r="D36" s="4" t="s">
        <v>19</v>
      </c>
      <c r="E36" s="4" t="s">
        <v>20</v>
      </c>
      <c r="F36" s="4">
        <v>2015</v>
      </c>
      <c r="G36" s="4">
        <v>8.9</v>
      </c>
      <c r="H36" s="4">
        <v>3</v>
      </c>
      <c r="I36" s="4">
        <v>6</v>
      </c>
      <c r="J36" s="4">
        <v>15</v>
      </c>
      <c r="K36" s="7">
        <f>SUM(I36:J36)</f>
        <v>21</v>
      </c>
      <c r="L36" s="4">
        <f>AVERAGE(I36:J36)</f>
        <v>10.5</v>
      </c>
      <c r="M36" s="4">
        <f>MEDIAN(I36:J36)</f>
        <v>10.5</v>
      </c>
      <c r="N36" s="4">
        <f>MAX(I36:J36)</f>
        <v>15</v>
      </c>
      <c r="O36" s="4">
        <f>MIN(I36:J36)</f>
        <v>6</v>
      </c>
      <c r="P36" s="4" t="str">
        <f>IF(N36&gt;=50,"VERY","NOT VERY")</f>
        <v>NOT VERY</v>
      </c>
    </row>
    <row r="37" spans="1:16">
      <c r="A37" s="4" t="s">
        <v>60</v>
      </c>
      <c r="B37" s="4" t="s">
        <v>63</v>
      </c>
      <c r="C37" s="4">
        <v>5</v>
      </c>
      <c r="D37" s="4" t="s">
        <v>27</v>
      </c>
      <c r="E37" s="4" t="s">
        <v>24</v>
      </c>
      <c r="F37" s="4">
        <v>2017</v>
      </c>
      <c r="G37" s="4">
        <v>8.9</v>
      </c>
      <c r="H37" s="4">
        <v>9</v>
      </c>
      <c r="I37" s="4">
        <v>11</v>
      </c>
      <c r="J37" s="4">
        <v>18</v>
      </c>
      <c r="K37" s="7">
        <f>SUM(I37:J37)</f>
        <v>29</v>
      </c>
      <c r="L37" s="4">
        <f>AVERAGE(I37:J37)</f>
        <v>14.5</v>
      </c>
      <c r="M37" s="4">
        <f>MEDIAN(I37:J37)</f>
        <v>14.5</v>
      </c>
      <c r="N37" s="4">
        <f>MAX(I37:J37)</f>
        <v>18</v>
      </c>
      <c r="O37" s="4">
        <f>MIN(I37:J37)</f>
        <v>11</v>
      </c>
      <c r="P37" s="4" t="str">
        <f>IF(N37&gt;=50,"VERY","NOT VERY")</f>
        <v>NOT VERY</v>
      </c>
    </row>
    <row r="38" spans="1:16">
      <c r="A38" s="4" t="s">
        <v>60</v>
      </c>
      <c r="B38" s="4" t="s">
        <v>64</v>
      </c>
      <c r="C38" s="4">
        <v>4</v>
      </c>
      <c r="D38" s="4" t="s">
        <v>19</v>
      </c>
      <c r="E38" s="4" t="s">
        <v>24</v>
      </c>
      <c r="F38" s="4">
        <v>2021</v>
      </c>
      <c r="G38" s="4">
        <v>8.3</v>
      </c>
      <c r="H38" s="4">
        <v>3</v>
      </c>
      <c r="I38" s="4">
        <v>4</v>
      </c>
      <c r="J38" s="4">
        <v>12</v>
      </c>
      <c r="K38" s="7">
        <f>SUM(I38:J38)</f>
        <v>16</v>
      </c>
      <c r="L38" s="4">
        <f>AVERAGE(I38:J38)</f>
        <v>8</v>
      </c>
      <c r="M38" s="4">
        <f>MEDIAN(I38:J38)</f>
        <v>8</v>
      </c>
      <c r="N38" s="4">
        <f>MAX(I38:J38)</f>
        <v>12</v>
      </c>
      <c r="O38" s="4">
        <f>MIN(I38:J38)</f>
        <v>4</v>
      </c>
      <c r="P38" s="4" t="str">
        <f>IF(N38&gt;=50,"VERY","NOT VERY")</f>
        <v>NOT VERY</v>
      </c>
    </row>
    <row r="39" spans="1:16">
      <c r="A39" s="4" t="s">
        <v>60</v>
      </c>
      <c r="B39" s="4" t="s">
        <v>65</v>
      </c>
      <c r="C39" s="4">
        <v>13</v>
      </c>
      <c r="D39" s="4" t="s">
        <v>27</v>
      </c>
      <c r="E39" s="4" t="s">
        <v>20</v>
      </c>
      <c r="F39" s="4">
        <v>2023</v>
      </c>
      <c r="G39" s="4">
        <v>8.7</v>
      </c>
      <c r="H39" s="4">
        <v>2</v>
      </c>
      <c r="I39" s="4">
        <v>4</v>
      </c>
      <c r="J39" s="4">
        <v>10</v>
      </c>
      <c r="K39" s="7">
        <f>SUM(I39:J39)</f>
        <v>14</v>
      </c>
      <c r="L39" s="4">
        <f>AVERAGE(I39:J39)</f>
        <v>7</v>
      </c>
      <c r="M39" s="4">
        <f>MEDIAN(I39:J39)</f>
        <v>7</v>
      </c>
      <c r="N39" s="4">
        <f>MAX(I39:J39)</f>
        <v>10</v>
      </c>
      <c r="O39" s="4">
        <f>MIN(I39:J39)</f>
        <v>4</v>
      </c>
      <c r="P39" s="4" t="str">
        <f>IF(N39&gt;=50,"VERY","NOT VERY")</f>
        <v>NOT VERY</v>
      </c>
    </row>
    <row r="40" spans="1:16">
      <c r="A40" s="4" t="s">
        <v>60</v>
      </c>
      <c r="B40" s="4" t="s">
        <v>66</v>
      </c>
      <c r="C40" s="4">
        <v>8</v>
      </c>
      <c r="D40" s="4" t="s">
        <v>27</v>
      </c>
      <c r="E40" s="4" t="s">
        <v>24</v>
      </c>
      <c r="F40" s="4">
        <v>2022</v>
      </c>
      <c r="G40" s="4">
        <v>6.1</v>
      </c>
      <c r="H40" s="4">
        <v>6</v>
      </c>
      <c r="I40" s="4">
        <v>7</v>
      </c>
      <c r="J40" s="4">
        <v>24</v>
      </c>
      <c r="K40" s="7">
        <f>SUM(I40:J40)</f>
        <v>31</v>
      </c>
      <c r="L40" s="4">
        <f>AVERAGE(I40:J40)</f>
        <v>15.5</v>
      </c>
      <c r="M40" s="4">
        <f>MEDIAN(I40:J40)</f>
        <v>15.5</v>
      </c>
      <c r="N40" s="4">
        <f>MAX(I40:J40)</f>
        <v>24</v>
      </c>
      <c r="O40" s="4">
        <f>MIN(I40:J40)</f>
        <v>7</v>
      </c>
      <c r="P40" s="4" t="str">
        <f>IF(N40&gt;=50,"VERY","NOT VERY")</f>
        <v>NOT VERY</v>
      </c>
    </row>
    <row r="41" spans="1:16">
      <c r="A41" s="4" t="s">
        <v>60</v>
      </c>
      <c r="B41" s="4" t="s">
        <v>67</v>
      </c>
      <c r="C41" s="4">
        <v>10</v>
      </c>
      <c r="D41" s="4" t="s">
        <v>19</v>
      </c>
      <c r="E41" s="4" t="s">
        <v>24</v>
      </c>
      <c r="F41" s="4">
        <v>2016</v>
      </c>
      <c r="G41" s="4">
        <v>7.3</v>
      </c>
      <c r="H41" s="4">
        <v>9</v>
      </c>
      <c r="I41" s="4">
        <v>12</v>
      </c>
      <c r="J41" s="4">
        <v>45</v>
      </c>
      <c r="K41" s="7">
        <f>SUM(I41:J41)</f>
        <v>57</v>
      </c>
      <c r="L41" s="4">
        <f>AVERAGE(I41:J41)</f>
        <v>28.5</v>
      </c>
      <c r="M41" s="4">
        <f>MEDIAN(I41:J41)</f>
        <v>28.5</v>
      </c>
      <c r="N41" s="4">
        <f>MAX(I41:J41)</f>
        <v>45</v>
      </c>
      <c r="O41" s="4">
        <f>MIN(I41:J41)</f>
        <v>12</v>
      </c>
      <c r="P41" s="4" t="str">
        <f>IF(N41&gt;=50,"VERY","NOT VERY")</f>
        <v>NOT VERY</v>
      </c>
    </row>
    <row r="42" spans="1:16">
      <c r="A42" s="4" t="s">
        <v>60</v>
      </c>
      <c r="B42" s="4" t="s">
        <v>68</v>
      </c>
      <c r="C42" s="4">
        <v>8</v>
      </c>
      <c r="D42" s="4" t="s">
        <v>27</v>
      </c>
      <c r="E42" s="4" t="s">
        <v>24</v>
      </c>
      <c r="F42" s="4">
        <v>2022</v>
      </c>
      <c r="G42" s="4">
        <v>7</v>
      </c>
      <c r="H42" s="4">
        <v>8</v>
      </c>
      <c r="I42" s="4">
        <v>9</v>
      </c>
      <c r="J42" s="4">
        <v>16</v>
      </c>
      <c r="K42" s="7">
        <f>SUM(I42:J42)</f>
        <v>25</v>
      </c>
      <c r="L42" s="4">
        <f>AVERAGE(I42:J42)</f>
        <v>12.5</v>
      </c>
      <c r="M42" s="4">
        <f>MEDIAN(I42:J42)</f>
        <v>12.5</v>
      </c>
      <c r="N42" s="4">
        <f>MAX(I42:J42)</f>
        <v>16</v>
      </c>
      <c r="O42" s="4">
        <f>MIN(I42:J42)</f>
        <v>9</v>
      </c>
      <c r="P42" s="4" t="str">
        <f>IF(N42&gt;=50,"VERY","NOT VERY")</f>
        <v>NOT VERY</v>
      </c>
    </row>
    <row r="43" spans="1:16">
      <c r="A43" s="4" t="s">
        <v>60</v>
      </c>
      <c r="B43" s="4" t="s">
        <v>69</v>
      </c>
      <c r="C43" s="4">
        <v>7</v>
      </c>
      <c r="D43" s="4" t="s">
        <v>27</v>
      </c>
      <c r="E43" s="4" t="s">
        <v>24</v>
      </c>
      <c r="F43" s="4">
        <v>2015</v>
      </c>
      <c r="G43" s="4">
        <v>8.1</v>
      </c>
      <c r="H43" s="4">
        <v>7</v>
      </c>
      <c r="I43" s="4">
        <v>8</v>
      </c>
      <c r="J43" s="4">
        <v>28</v>
      </c>
      <c r="K43" s="7">
        <f>SUM(I43:J43)</f>
        <v>36</v>
      </c>
      <c r="L43" s="4">
        <f>AVERAGE(I43:J43)</f>
        <v>18</v>
      </c>
      <c r="M43" s="4">
        <f>MEDIAN(I43:J43)</f>
        <v>18</v>
      </c>
      <c r="N43" s="4">
        <f>MAX(I43:J43)</f>
        <v>28</v>
      </c>
      <c r="O43" s="4">
        <f>MIN(I43:J43)</f>
        <v>8</v>
      </c>
      <c r="P43" s="4" t="str">
        <f>IF(N43&gt;=50,"VERY","NOT VERY")</f>
        <v>NOT VERY</v>
      </c>
    </row>
    <row r="44" spans="1:16">
      <c r="A44" s="4" t="s">
        <v>60</v>
      </c>
      <c r="B44" s="4" t="s">
        <v>70</v>
      </c>
      <c r="C44" s="4">
        <v>3</v>
      </c>
      <c r="D44" s="4" t="s">
        <v>19</v>
      </c>
      <c r="E44" s="4" t="s">
        <v>24</v>
      </c>
      <c r="F44" s="4">
        <v>2017</v>
      </c>
      <c r="G44" s="4">
        <v>7.6</v>
      </c>
      <c r="H44" s="4">
        <v>5</v>
      </c>
      <c r="I44" s="4">
        <v>6</v>
      </c>
      <c r="J44" s="4">
        <v>10</v>
      </c>
      <c r="K44" s="7">
        <f>SUM(I44:J44)</f>
        <v>16</v>
      </c>
      <c r="L44" s="4">
        <f>AVERAGE(I44:J44)</f>
        <v>8</v>
      </c>
      <c r="M44" s="4">
        <f>MEDIAN(I44:J44)</f>
        <v>8</v>
      </c>
      <c r="N44" s="4">
        <f>MAX(I44:J44)</f>
        <v>10</v>
      </c>
      <c r="O44" s="4">
        <f>MIN(I44:J44)</f>
        <v>6</v>
      </c>
      <c r="P44" s="4" t="str">
        <f>IF(N44&gt;=50,"VERY","NOT VERY")</f>
        <v>NOT VERY</v>
      </c>
    </row>
    <row r="45" spans="1:16">
      <c r="A45" s="4" t="s">
        <v>60</v>
      </c>
      <c r="B45" s="4" t="s">
        <v>71</v>
      </c>
      <c r="C45" s="4">
        <v>8</v>
      </c>
      <c r="D45" s="4" t="s">
        <v>19</v>
      </c>
      <c r="E45" s="4" t="s">
        <v>20</v>
      </c>
      <c r="F45" s="4">
        <v>2021</v>
      </c>
      <c r="G45" s="4">
        <v>11.1</v>
      </c>
      <c r="H45" s="4">
        <v>0</v>
      </c>
      <c r="I45" s="4">
        <v>2</v>
      </c>
      <c r="J45" s="4">
        <v>0</v>
      </c>
      <c r="K45" s="7">
        <f>SUM(I45:J45)</f>
        <v>2</v>
      </c>
      <c r="L45" s="4">
        <f>AVERAGE(I45:J45)</f>
        <v>1</v>
      </c>
      <c r="M45" s="4">
        <f>MEDIAN(I45:J45)</f>
        <v>1</v>
      </c>
      <c r="N45" s="4">
        <f>MAX(I45:J45)</f>
        <v>2</v>
      </c>
      <c r="O45" s="4">
        <f>MIN(I45:J45)</f>
        <v>0</v>
      </c>
      <c r="P45" s="4" t="str">
        <f>IF(N45&gt;=50,"VERY","NOT VERY")</f>
        <v>NOT VERY</v>
      </c>
    </row>
    <row r="46" spans="1:16">
      <c r="A46" s="4" t="s">
        <v>60</v>
      </c>
      <c r="B46" s="4" t="s">
        <v>72</v>
      </c>
      <c r="C46" s="4">
        <v>11</v>
      </c>
      <c r="D46" s="4" t="s">
        <v>27</v>
      </c>
      <c r="E46" s="4" t="s">
        <v>24</v>
      </c>
      <c r="F46" s="4">
        <v>2022</v>
      </c>
      <c r="G46" s="4">
        <v>8.8</v>
      </c>
      <c r="H46" s="4">
        <v>10</v>
      </c>
      <c r="I46" s="4">
        <v>13</v>
      </c>
      <c r="J46" s="4">
        <v>50</v>
      </c>
      <c r="K46" s="7">
        <f>SUM(I46:J46)</f>
        <v>63</v>
      </c>
      <c r="L46" s="4">
        <f>AVERAGE(I46:J46)</f>
        <v>31.5</v>
      </c>
      <c r="M46" s="4">
        <f>MEDIAN(I46:J46)</f>
        <v>31.5</v>
      </c>
      <c r="N46" s="4">
        <f>MAX(I46:J46)</f>
        <v>50</v>
      </c>
      <c r="O46" s="4">
        <f>MIN(I46:J46)</f>
        <v>13</v>
      </c>
      <c r="P46" s="4" t="str">
        <f>IF(N46&gt;=50,"VERY","NOT VERY")</f>
        <v>VERY</v>
      </c>
    </row>
    <row r="47" spans="1:16">
      <c r="A47" s="4" t="s">
        <v>60</v>
      </c>
      <c r="B47" s="4" t="s">
        <v>73</v>
      </c>
      <c r="C47" s="4">
        <v>9</v>
      </c>
      <c r="D47" s="4" t="s">
        <v>27</v>
      </c>
      <c r="E47" s="4" t="s">
        <v>20</v>
      </c>
      <c r="F47" s="4">
        <v>2023</v>
      </c>
      <c r="G47" s="4">
        <v>11.6</v>
      </c>
      <c r="H47" s="4">
        <v>3</v>
      </c>
      <c r="I47" s="4">
        <v>5</v>
      </c>
      <c r="J47" s="4">
        <v>12</v>
      </c>
      <c r="K47" s="7">
        <f>SUM(I47:J47)</f>
        <v>17</v>
      </c>
      <c r="L47" s="4">
        <f>AVERAGE(I47:J47)</f>
        <v>8.5</v>
      </c>
      <c r="M47" s="4">
        <f>MEDIAN(I47:J47)</f>
        <v>8.5</v>
      </c>
      <c r="N47" s="4">
        <f>MAX(I47:J47)</f>
        <v>12</v>
      </c>
      <c r="O47" s="4">
        <f>MIN(I47:J47)</f>
        <v>5</v>
      </c>
      <c r="P47" s="4" t="str">
        <f>IF(N47&gt;=50,"VERY","NOT VERY")</f>
        <v>NOT VERY</v>
      </c>
    </row>
    <row r="48" spans="1:16">
      <c r="A48" s="4" t="s">
        <v>60</v>
      </c>
      <c r="B48" s="4" t="s">
        <v>74</v>
      </c>
      <c r="C48" s="4">
        <v>12</v>
      </c>
      <c r="D48" s="4" t="s">
        <v>27</v>
      </c>
      <c r="E48" s="4" t="s">
        <v>24</v>
      </c>
      <c r="F48" s="4">
        <v>2023</v>
      </c>
      <c r="G48" s="4">
        <v>7.3</v>
      </c>
      <c r="H48" s="4">
        <v>6</v>
      </c>
      <c r="I48" s="4">
        <v>7</v>
      </c>
      <c r="J48" s="4">
        <v>18</v>
      </c>
      <c r="K48" s="7">
        <f>SUM(I48:J48)</f>
        <v>25</v>
      </c>
      <c r="L48" s="4">
        <f>AVERAGE(I48:J48)</f>
        <v>12.5</v>
      </c>
      <c r="M48" s="4">
        <f>MEDIAN(I48:J48)</f>
        <v>12.5</v>
      </c>
      <c r="N48" s="4">
        <f>MAX(I48:J48)</f>
        <v>18</v>
      </c>
      <c r="O48" s="4">
        <f>MIN(I48:J48)</f>
        <v>7</v>
      </c>
      <c r="P48" s="4" t="str">
        <f>IF(N48&gt;=50,"VERY","NOT VERY")</f>
        <v>NOT VERY</v>
      </c>
    </row>
    <row r="49" spans="1:16">
      <c r="A49" s="4" t="s">
        <v>60</v>
      </c>
      <c r="B49" s="4" t="s">
        <v>75</v>
      </c>
      <c r="C49" s="4">
        <v>15</v>
      </c>
      <c r="D49" s="4" t="s">
        <v>19</v>
      </c>
      <c r="E49" s="4" t="s">
        <v>24</v>
      </c>
      <c r="F49" s="4">
        <v>2022</v>
      </c>
      <c r="G49" s="4">
        <v>8.5</v>
      </c>
      <c r="H49" s="4">
        <v>5</v>
      </c>
      <c r="I49" s="4">
        <v>8</v>
      </c>
      <c r="J49" s="4">
        <v>15</v>
      </c>
      <c r="K49" s="7">
        <f>SUM(I49:J49)</f>
        <v>23</v>
      </c>
      <c r="L49" s="4">
        <f>AVERAGE(I49:J49)</f>
        <v>11.5</v>
      </c>
      <c r="M49" s="4">
        <f>MEDIAN(I49:J49)</f>
        <v>11.5</v>
      </c>
      <c r="N49" s="4">
        <f>MAX(I49:J49)</f>
        <v>15</v>
      </c>
      <c r="O49" s="4">
        <f>MIN(I49:J49)</f>
        <v>8</v>
      </c>
      <c r="P49" s="4" t="str">
        <f>IF(N49&gt;=50,"VERY","NOT VERY")</f>
        <v>NOT VERY</v>
      </c>
    </row>
    <row r="50" spans="1:16">
      <c r="A50" s="4" t="s">
        <v>60</v>
      </c>
      <c r="B50" s="4" t="s">
        <v>76</v>
      </c>
      <c r="C50" s="4">
        <v>10</v>
      </c>
      <c r="D50" s="4" t="s">
        <v>27</v>
      </c>
      <c r="E50" s="4" t="s">
        <v>24</v>
      </c>
      <c r="F50" s="4">
        <v>2015</v>
      </c>
      <c r="G50" s="4">
        <v>7.2</v>
      </c>
      <c r="H50" s="4">
        <v>3</v>
      </c>
      <c r="I50" s="4">
        <v>3</v>
      </c>
      <c r="J50" s="4">
        <v>15</v>
      </c>
      <c r="K50" s="7">
        <f>SUM(I50:J50)</f>
        <v>18</v>
      </c>
      <c r="L50" s="4">
        <f>AVERAGE(I50:J50)</f>
        <v>9</v>
      </c>
      <c r="M50" s="4">
        <f>MEDIAN(I50:J50)</f>
        <v>9</v>
      </c>
      <c r="N50" s="4">
        <f>MAX(I50:J50)</f>
        <v>15</v>
      </c>
      <c r="O50" s="4">
        <f>MIN(I50:J50)</f>
        <v>3</v>
      </c>
      <c r="P50" s="4" t="str">
        <f>IF(N50&gt;=50,"VERY","NOT VERY")</f>
        <v>NOT VERY</v>
      </c>
    </row>
    <row r="51" spans="1:16">
      <c r="A51" s="4" t="s">
        <v>60</v>
      </c>
      <c r="B51" s="4" t="s">
        <v>77</v>
      </c>
      <c r="C51" s="4">
        <v>4</v>
      </c>
      <c r="D51" s="4" t="s">
        <v>27</v>
      </c>
      <c r="E51" s="4" t="s">
        <v>24</v>
      </c>
      <c r="F51" s="4">
        <v>2021</v>
      </c>
      <c r="G51" s="4">
        <v>8.2</v>
      </c>
      <c r="H51" s="4">
        <v>4</v>
      </c>
      <c r="I51" s="4">
        <v>4</v>
      </c>
      <c r="J51" s="4">
        <v>20</v>
      </c>
      <c r="K51" s="7">
        <f>SUM(I51:J51)</f>
        <v>24</v>
      </c>
      <c r="L51" s="4">
        <f>AVERAGE(I51:J51)</f>
        <v>12</v>
      </c>
      <c r="M51" s="4">
        <f>MEDIAN(I51:J51)</f>
        <v>12</v>
      </c>
      <c r="N51" s="4">
        <f>MAX(I51:J51)</f>
        <v>20</v>
      </c>
      <c r="O51" s="4">
        <f>MIN(I51:J51)</f>
        <v>4</v>
      </c>
      <c r="P51" s="4" t="str">
        <f>IF(N51&gt;=50,"VERY","NOT VERY")</f>
        <v>NOT VERY</v>
      </c>
    </row>
    <row r="52" spans="1:16">
      <c r="A52" s="4" t="s">
        <v>60</v>
      </c>
      <c r="B52" s="4" t="s">
        <v>78</v>
      </c>
      <c r="C52" s="4">
        <v>8</v>
      </c>
      <c r="D52" s="4" t="s">
        <v>19</v>
      </c>
      <c r="E52" s="4" t="s">
        <v>20</v>
      </c>
      <c r="F52" s="4">
        <v>2023</v>
      </c>
      <c r="G52" s="4">
        <v>9.5</v>
      </c>
      <c r="H52" s="4">
        <v>3</v>
      </c>
      <c r="I52" s="4">
        <v>3</v>
      </c>
      <c r="J52" s="4">
        <v>15</v>
      </c>
      <c r="K52" s="7">
        <f>SUM(I52:J52)</f>
        <v>18</v>
      </c>
      <c r="L52" s="4">
        <f>AVERAGE(I52:J52)</f>
        <v>9</v>
      </c>
      <c r="M52" s="4">
        <f>MEDIAN(I52:J52)</f>
        <v>9</v>
      </c>
      <c r="N52" s="4">
        <f>MAX(I52:J52)</f>
        <v>15</v>
      </c>
      <c r="O52" s="4">
        <f>MIN(I52:J52)</f>
        <v>3</v>
      </c>
      <c r="P52" s="4" t="str">
        <f>IF(N52&gt;=50,"VERY","NOT VERY")</f>
        <v>NOT VERY</v>
      </c>
    </row>
    <row r="53" spans="1:16">
      <c r="A53" s="4" t="s">
        <v>60</v>
      </c>
      <c r="B53" s="4" t="s">
        <v>79</v>
      </c>
      <c r="C53" s="4">
        <v>4</v>
      </c>
      <c r="D53" s="4" t="s">
        <v>19</v>
      </c>
      <c r="E53" s="4" t="s">
        <v>24</v>
      </c>
      <c r="F53" s="4">
        <v>2015</v>
      </c>
      <c r="G53" s="4">
        <v>8.5</v>
      </c>
      <c r="H53" s="4">
        <v>8</v>
      </c>
      <c r="I53" s="4">
        <v>10</v>
      </c>
      <c r="J53" s="4">
        <v>24</v>
      </c>
      <c r="K53" s="7">
        <f>SUM(I53:J53)</f>
        <v>34</v>
      </c>
      <c r="L53" s="4">
        <f>AVERAGE(I53:J53)</f>
        <v>17</v>
      </c>
      <c r="M53" s="4">
        <f>MEDIAN(I53:J53)</f>
        <v>17</v>
      </c>
      <c r="N53" s="4">
        <f>MAX(I53:J53)</f>
        <v>24</v>
      </c>
      <c r="O53" s="4">
        <f>MIN(I53:J53)</f>
        <v>10</v>
      </c>
      <c r="P53" s="4" t="str">
        <f>IF(N53&gt;=50,"VERY","NOT VERY")</f>
        <v>NOT VERY</v>
      </c>
    </row>
    <row r="54" spans="1:16">
      <c r="A54" s="4" t="s">
        <v>60</v>
      </c>
      <c r="B54" s="4" t="s">
        <v>80</v>
      </c>
      <c r="C54" s="4">
        <v>13</v>
      </c>
      <c r="D54" s="4" t="s">
        <v>19</v>
      </c>
      <c r="E54" s="4" t="s">
        <v>20</v>
      </c>
      <c r="F54" s="4">
        <v>2022</v>
      </c>
      <c r="G54" s="4">
        <v>11.1</v>
      </c>
      <c r="H54" s="4">
        <v>2</v>
      </c>
      <c r="I54" s="4">
        <v>5</v>
      </c>
      <c r="J54" s="4">
        <v>4</v>
      </c>
      <c r="K54" s="7">
        <f>SUM(I54:J54)</f>
        <v>9</v>
      </c>
      <c r="L54" s="4">
        <f>AVERAGE(I54:J54)</f>
        <v>4.5</v>
      </c>
      <c r="M54" s="4">
        <f>MEDIAN(I54:J54)</f>
        <v>4.5</v>
      </c>
      <c r="N54" s="4">
        <f>MAX(I54:J54)</f>
        <v>5</v>
      </c>
      <c r="O54" s="4">
        <f>MIN(I54:J54)</f>
        <v>4</v>
      </c>
      <c r="P54" s="4" t="str">
        <f>IF(N54&gt;=50,"VERY","NOT VERY")</f>
        <v>NOT VERY</v>
      </c>
    </row>
    <row r="55" spans="1:16">
      <c r="A55" s="4" t="s">
        <v>60</v>
      </c>
      <c r="B55" s="4" t="s">
        <v>81</v>
      </c>
      <c r="C55" s="4">
        <v>6</v>
      </c>
      <c r="D55" s="4" t="s">
        <v>19</v>
      </c>
      <c r="E55" s="4" t="s">
        <v>20</v>
      </c>
      <c r="F55" s="4">
        <v>2022</v>
      </c>
      <c r="G55" s="4">
        <v>9.5</v>
      </c>
      <c r="H55" s="4">
        <v>4</v>
      </c>
      <c r="I55" s="4">
        <v>5</v>
      </c>
      <c r="J55" s="4">
        <v>12</v>
      </c>
      <c r="K55" s="7">
        <f>SUM(I55:J55)</f>
        <v>17</v>
      </c>
      <c r="L55" s="4">
        <f>AVERAGE(I55:J55)</f>
        <v>8.5</v>
      </c>
      <c r="M55" s="4">
        <f>MEDIAN(I55:J55)</f>
        <v>8.5</v>
      </c>
      <c r="N55" s="4">
        <f>MAX(I55:J55)</f>
        <v>12</v>
      </c>
      <c r="O55" s="4">
        <f>MIN(I55:J55)</f>
        <v>5</v>
      </c>
      <c r="P55" s="4" t="str">
        <f>IF(N55&gt;=50,"VERY","NOT VERY")</f>
        <v>NOT VERY</v>
      </c>
    </row>
    <row r="56" spans="1:16">
      <c r="A56" s="4" t="s">
        <v>60</v>
      </c>
      <c r="B56" s="4" t="s">
        <v>82</v>
      </c>
      <c r="C56" s="4">
        <v>6</v>
      </c>
      <c r="D56" s="4" t="s">
        <v>19</v>
      </c>
      <c r="E56" s="4" t="s">
        <v>24</v>
      </c>
      <c r="F56" s="4">
        <v>2021</v>
      </c>
      <c r="G56" s="4">
        <v>8.2</v>
      </c>
      <c r="H56" s="4">
        <v>6</v>
      </c>
      <c r="I56" s="4">
        <v>9</v>
      </c>
      <c r="J56" s="4">
        <v>30</v>
      </c>
      <c r="K56" s="7">
        <f>SUM(I56:J56)</f>
        <v>39</v>
      </c>
      <c r="L56" s="4">
        <f>AVERAGE(I56:J56)</f>
        <v>19.5</v>
      </c>
      <c r="M56" s="4">
        <f>MEDIAN(I56:J56)</f>
        <v>19.5</v>
      </c>
      <c r="N56" s="4">
        <f>MAX(I56:J56)</f>
        <v>30</v>
      </c>
      <c r="O56" s="4">
        <f>MIN(I56:J56)</f>
        <v>9</v>
      </c>
      <c r="P56" s="4" t="str">
        <f>IF(N56&gt;=50,"VERY","NOT VERY")</f>
        <v>NOT VERY</v>
      </c>
    </row>
    <row r="57" spans="1:16">
      <c r="A57" s="4" t="s">
        <v>60</v>
      </c>
      <c r="B57" s="4" t="s">
        <v>83</v>
      </c>
      <c r="C57" s="4">
        <v>15</v>
      </c>
      <c r="D57" s="4" t="s">
        <v>19</v>
      </c>
      <c r="E57" s="4" t="s">
        <v>24</v>
      </c>
      <c r="F57" s="4">
        <v>2016</v>
      </c>
      <c r="G57" s="4">
        <v>9</v>
      </c>
      <c r="H57" s="4">
        <v>6</v>
      </c>
      <c r="I57" s="4">
        <v>7</v>
      </c>
      <c r="J57" s="4">
        <v>18</v>
      </c>
      <c r="K57" s="7">
        <f>SUM(I57:J57)</f>
        <v>25</v>
      </c>
      <c r="L57" s="4">
        <f>AVERAGE(I57:J57)</f>
        <v>12.5</v>
      </c>
      <c r="M57" s="4">
        <f>MEDIAN(I57:J57)</f>
        <v>12.5</v>
      </c>
      <c r="N57" s="4">
        <f>MAX(I57:J57)</f>
        <v>18</v>
      </c>
      <c r="O57" s="4">
        <f>MIN(I57:J57)</f>
        <v>7</v>
      </c>
      <c r="P57" s="4" t="str">
        <f>IF(N57&gt;=50,"VERY","NOT VERY")</f>
        <v>NOT VERY</v>
      </c>
    </row>
    <row r="58" spans="1:16">
      <c r="A58" s="4" t="s">
        <v>60</v>
      </c>
      <c r="B58" s="4" t="s">
        <v>84</v>
      </c>
      <c r="C58" s="4">
        <v>15</v>
      </c>
      <c r="D58" s="4" t="s">
        <v>19</v>
      </c>
      <c r="E58" s="4" t="s">
        <v>20</v>
      </c>
      <c r="F58" s="4">
        <v>2019</v>
      </c>
      <c r="G58" s="4">
        <v>9.5</v>
      </c>
      <c r="H58" s="4">
        <v>0</v>
      </c>
      <c r="I58" s="4">
        <v>3</v>
      </c>
      <c r="J58" s="4">
        <v>0</v>
      </c>
      <c r="K58" s="7">
        <f>SUM(I58:J58)</f>
        <v>3</v>
      </c>
      <c r="L58" s="4">
        <f>AVERAGE(I58:J58)</f>
        <v>1.5</v>
      </c>
      <c r="M58" s="4">
        <f>MEDIAN(I58:J58)</f>
        <v>1.5</v>
      </c>
      <c r="N58" s="4">
        <f>MAX(I58:J58)</f>
        <v>3</v>
      </c>
      <c r="O58" s="4">
        <f>MIN(I58:J58)</f>
        <v>0</v>
      </c>
      <c r="P58" s="4" t="str">
        <f>IF(N58&gt;=50,"VERY","NOT VERY")</f>
        <v>NOT VERY</v>
      </c>
    </row>
    <row r="59" spans="1:16">
      <c r="A59" s="4" t="s">
        <v>60</v>
      </c>
      <c r="B59" s="4" t="s">
        <v>85</v>
      </c>
      <c r="C59" s="4">
        <v>4</v>
      </c>
      <c r="D59" s="4" t="s">
        <v>19</v>
      </c>
      <c r="E59" s="4" t="s">
        <v>24</v>
      </c>
      <c r="F59" s="4">
        <v>2016</v>
      </c>
      <c r="G59" s="4">
        <v>7.8</v>
      </c>
      <c r="H59" s="4">
        <v>6</v>
      </c>
      <c r="I59" s="4">
        <v>6</v>
      </c>
      <c r="J59" s="4">
        <v>24</v>
      </c>
      <c r="K59" s="7">
        <f>SUM(I59:J59)</f>
        <v>30</v>
      </c>
      <c r="L59" s="4">
        <f>AVERAGE(I59:J59)</f>
        <v>15</v>
      </c>
      <c r="M59" s="4">
        <f>MEDIAN(I59:J59)</f>
        <v>15</v>
      </c>
      <c r="N59" s="4">
        <f>MAX(I59:J59)</f>
        <v>24</v>
      </c>
      <c r="O59" s="4">
        <f>MIN(I59:J59)</f>
        <v>6</v>
      </c>
      <c r="P59" s="4" t="str">
        <f>IF(N59&gt;=50,"VERY","NOT VERY")</f>
        <v>NOT VERY</v>
      </c>
    </row>
    <row r="60" spans="1:16">
      <c r="A60" s="4" t="s">
        <v>60</v>
      </c>
      <c r="B60" s="4" t="s">
        <v>86</v>
      </c>
      <c r="C60" s="4">
        <v>10</v>
      </c>
      <c r="D60" s="4" t="s">
        <v>27</v>
      </c>
      <c r="E60" s="4" t="s">
        <v>20</v>
      </c>
      <c r="F60" s="4">
        <v>2022</v>
      </c>
      <c r="G60" s="4">
        <v>9.5</v>
      </c>
      <c r="H60" s="4">
        <v>1</v>
      </c>
      <c r="I60" s="4">
        <v>4</v>
      </c>
      <c r="J60" s="4">
        <v>3</v>
      </c>
      <c r="K60" s="7">
        <f>SUM(I60:J60)</f>
        <v>7</v>
      </c>
      <c r="L60" s="4">
        <f>AVERAGE(I60:J60)</f>
        <v>3.5</v>
      </c>
      <c r="M60" s="4">
        <f>MEDIAN(I60:J60)</f>
        <v>3.5</v>
      </c>
      <c r="N60" s="4">
        <f>MAX(I60:J60)</f>
        <v>4</v>
      </c>
      <c r="O60" s="4">
        <f>MIN(I60:J60)</f>
        <v>3</v>
      </c>
      <c r="P60" s="4" t="str">
        <f>IF(N60&gt;=50,"VERY","NOT VERY")</f>
        <v>NOT VERY</v>
      </c>
    </row>
    <row r="61" spans="1:16">
      <c r="A61" s="4" t="s">
        <v>60</v>
      </c>
      <c r="B61" s="4" t="s">
        <v>87</v>
      </c>
      <c r="C61" s="4">
        <v>14</v>
      </c>
      <c r="D61" s="4" t="s">
        <v>27</v>
      </c>
      <c r="E61" s="4" t="s">
        <v>24</v>
      </c>
      <c r="F61" s="4">
        <v>2018</v>
      </c>
      <c r="G61" s="4">
        <v>6.3</v>
      </c>
      <c r="H61" s="4">
        <v>10</v>
      </c>
      <c r="I61" s="4">
        <v>10</v>
      </c>
      <c r="J61" s="4">
        <v>30</v>
      </c>
      <c r="K61" s="7">
        <f>SUM(I61:J61)</f>
        <v>40</v>
      </c>
      <c r="L61" s="4">
        <f>AVERAGE(I61:J61)</f>
        <v>20</v>
      </c>
      <c r="M61" s="4">
        <f>MEDIAN(I61:J61)</f>
        <v>20</v>
      </c>
      <c r="N61" s="4">
        <f>MAX(I61:J61)</f>
        <v>30</v>
      </c>
      <c r="O61" s="4">
        <f>MIN(I61:J61)</f>
        <v>10</v>
      </c>
      <c r="P61" s="4" t="str">
        <f>IF(N61&gt;=50,"VERY","NOT VERY")</f>
        <v>NOT VERY</v>
      </c>
    </row>
    <row r="62" spans="1:16">
      <c r="A62" s="4" t="s">
        <v>60</v>
      </c>
      <c r="B62" s="4" t="s">
        <v>88</v>
      </c>
      <c r="C62" s="4">
        <v>5</v>
      </c>
      <c r="D62" s="4" t="s">
        <v>27</v>
      </c>
      <c r="E62" s="4" t="s">
        <v>24</v>
      </c>
      <c r="F62" s="4">
        <v>2017</v>
      </c>
      <c r="G62" s="4">
        <v>8.1</v>
      </c>
      <c r="H62" s="4">
        <v>9</v>
      </c>
      <c r="I62" s="4">
        <v>10</v>
      </c>
      <c r="J62" s="4">
        <v>27</v>
      </c>
      <c r="K62" s="7">
        <f>SUM(I62:J62)</f>
        <v>37</v>
      </c>
      <c r="L62" s="4">
        <f>AVERAGE(I62:J62)</f>
        <v>18.5</v>
      </c>
      <c r="M62" s="4">
        <f>MEDIAN(I62:J62)</f>
        <v>18.5</v>
      </c>
      <c r="N62" s="4">
        <f>MAX(I62:J62)</f>
        <v>27</v>
      </c>
      <c r="O62" s="4">
        <f>MIN(I62:J62)</f>
        <v>10</v>
      </c>
      <c r="P62" s="4" t="str">
        <f>IF(N62&gt;=50,"VERY","NOT VERY")</f>
        <v>NOT VERY</v>
      </c>
    </row>
    <row r="63" spans="1:16">
      <c r="A63" s="4" t="s">
        <v>60</v>
      </c>
      <c r="B63" s="4" t="s">
        <v>89</v>
      </c>
      <c r="C63" s="4">
        <v>5</v>
      </c>
      <c r="D63" s="4" t="s">
        <v>27</v>
      </c>
      <c r="E63" s="4" t="s">
        <v>24</v>
      </c>
      <c r="F63" s="4">
        <v>2016</v>
      </c>
      <c r="G63" s="4">
        <v>8.3</v>
      </c>
      <c r="H63" s="4">
        <v>10</v>
      </c>
      <c r="I63" s="4">
        <v>10</v>
      </c>
      <c r="J63" s="4">
        <v>50</v>
      </c>
      <c r="K63" s="7">
        <f>SUM(I63:J63)</f>
        <v>60</v>
      </c>
      <c r="L63" s="4">
        <f>AVERAGE(I63:J63)</f>
        <v>30</v>
      </c>
      <c r="M63" s="4">
        <f>MEDIAN(I63:J63)</f>
        <v>30</v>
      </c>
      <c r="N63" s="4">
        <f>MAX(I63:J63)</f>
        <v>50</v>
      </c>
      <c r="O63" s="4">
        <f>MIN(I63:J63)</f>
        <v>10</v>
      </c>
      <c r="P63" s="4" t="str">
        <f>IF(N63&gt;=50,"VERY","NOT VERY")</f>
        <v>VERY</v>
      </c>
    </row>
    <row r="64" spans="1:16">
      <c r="A64" s="4" t="s">
        <v>60</v>
      </c>
      <c r="B64" s="4" t="s">
        <v>90</v>
      </c>
      <c r="C64" s="4">
        <v>10</v>
      </c>
      <c r="D64" s="4" t="s">
        <v>19</v>
      </c>
      <c r="E64" s="4" t="s">
        <v>24</v>
      </c>
      <c r="F64" s="4">
        <v>2018</v>
      </c>
      <c r="G64" s="4">
        <v>9</v>
      </c>
      <c r="H64" s="4">
        <v>5</v>
      </c>
      <c r="I64" s="4">
        <v>6</v>
      </c>
      <c r="J64" s="4">
        <v>20</v>
      </c>
      <c r="K64" s="7">
        <f>SUM(I64:J64)</f>
        <v>26</v>
      </c>
      <c r="L64" s="4">
        <f>AVERAGE(I64:J64)</f>
        <v>13</v>
      </c>
      <c r="M64" s="4">
        <f>MEDIAN(I64:J64)</f>
        <v>13</v>
      </c>
      <c r="N64" s="4">
        <f>MAX(I64:J64)</f>
        <v>20</v>
      </c>
      <c r="O64" s="4">
        <f>MIN(I64:J64)</f>
        <v>6</v>
      </c>
      <c r="P64" s="4" t="str">
        <f>IF(N64&gt;=50,"VERY","NOT VERY")</f>
        <v>NOT VERY</v>
      </c>
    </row>
    <row r="65" spans="1:16">
      <c r="A65" s="4" t="s">
        <v>60</v>
      </c>
      <c r="B65" s="4" t="s">
        <v>91</v>
      </c>
      <c r="C65" s="4">
        <v>11</v>
      </c>
      <c r="D65" s="4" t="s">
        <v>19</v>
      </c>
      <c r="E65" s="4" t="s">
        <v>20</v>
      </c>
      <c r="F65" s="4">
        <v>2015</v>
      </c>
      <c r="G65" s="4">
        <v>9.1</v>
      </c>
      <c r="H65" s="4">
        <v>0</v>
      </c>
      <c r="I65" s="4">
        <v>1</v>
      </c>
      <c r="J65" s="4">
        <v>0</v>
      </c>
      <c r="K65" s="7">
        <f>SUM(I65:J65)</f>
        <v>1</v>
      </c>
      <c r="L65" s="4">
        <f>AVERAGE(I65:J65)</f>
        <v>0.5</v>
      </c>
      <c r="M65" s="4">
        <f>MEDIAN(I65:J65)</f>
        <v>0.5</v>
      </c>
      <c r="N65" s="4">
        <f>MAX(I65:J65)</f>
        <v>1</v>
      </c>
      <c r="O65" s="4">
        <f>MIN(I65:J65)</f>
        <v>0</v>
      </c>
      <c r="P65" s="4" t="str">
        <f>IF(N65&gt;=50,"VERY","NOT VERY")</f>
        <v>NOT VERY</v>
      </c>
    </row>
    <row r="66" spans="1:16">
      <c r="A66" s="4" t="s">
        <v>60</v>
      </c>
      <c r="B66" s="4" t="s">
        <v>92</v>
      </c>
      <c r="C66" s="4">
        <v>10</v>
      </c>
      <c r="D66" s="4" t="s">
        <v>27</v>
      </c>
      <c r="E66" s="4" t="s">
        <v>24</v>
      </c>
      <c r="F66" s="4">
        <v>2017</v>
      </c>
      <c r="G66" s="4">
        <v>7.8</v>
      </c>
      <c r="H66" s="4">
        <v>3</v>
      </c>
      <c r="I66" s="4">
        <v>4</v>
      </c>
      <c r="J66" s="4">
        <v>9</v>
      </c>
      <c r="K66" s="7">
        <f>SUM(I66:J66)</f>
        <v>13</v>
      </c>
      <c r="L66" s="4">
        <f>AVERAGE(I66:J66)</f>
        <v>6.5</v>
      </c>
      <c r="M66" s="4">
        <f>MEDIAN(I66:J66)</f>
        <v>6.5</v>
      </c>
      <c r="N66" s="4">
        <f>MAX(I66:J66)</f>
        <v>9</v>
      </c>
      <c r="O66" s="4">
        <f>MIN(I66:J66)</f>
        <v>4</v>
      </c>
      <c r="P66" s="4" t="str">
        <f>IF(N66&gt;=50,"VERY","NOT VERY")</f>
        <v>NOT VERY</v>
      </c>
    </row>
    <row r="67" spans="1:16">
      <c r="A67" s="4" t="s">
        <v>60</v>
      </c>
      <c r="B67" s="4" t="s">
        <v>93</v>
      </c>
      <c r="C67" s="4">
        <v>13</v>
      </c>
      <c r="D67" s="4" t="s">
        <v>19</v>
      </c>
      <c r="E67" s="4" t="s">
        <v>24</v>
      </c>
      <c r="F67" s="4">
        <v>2021</v>
      </c>
      <c r="G67" s="4">
        <v>9</v>
      </c>
      <c r="H67" s="4">
        <v>10</v>
      </c>
      <c r="I67" s="4">
        <v>11</v>
      </c>
      <c r="J67" s="4">
        <v>50</v>
      </c>
      <c r="K67" s="7">
        <f>SUM(I67:J67)</f>
        <v>61</v>
      </c>
      <c r="L67" s="4">
        <f>AVERAGE(I67:J67)</f>
        <v>30.5</v>
      </c>
      <c r="M67" s="4">
        <f>MEDIAN(I67:J67)</f>
        <v>30.5</v>
      </c>
      <c r="N67" s="4">
        <f>MAX(I67:J67)</f>
        <v>50</v>
      </c>
      <c r="O67" s="4">
        <f>MIN(I67:J67)</f>
        <v>11</v>
      </c>
      <c r="P67" s="4" t="str">
        <f>IF(N67&gt;=50,"VERY","NOT VERY")</f>
        <v>VERY</v>
      </c>
    </row>
    <row r="68" spans="1:16">
      <c r="A68" s="4" t="s">
        <v>60</v>
      </c>
      <c r="B68" s="4" t="s">
        <v>94</v>
      </c>
      <c r="C68" s="4">
        <v>8</v>
      </c>
      <c r="D68" s="4" t="s">
        <v>27</v>
      </c>
      <c r="E68" s="4" t="s">
        <v>24</v>
      </c>
      <c r="F68" s="4">
        <v>2016</v>
      </c>
      <c r="G68" s="4">
        <v>9.3</v>
      </c>
      <c r="H68" s="4">
        <v>10</v>
      </c>
      <c r="I68" s="4">
        <v>12</v>
      </c>
      <c r="J68" s="4">
        <v>30</v>
      </c>
      <c r="K68" s="7">
        <f>SUM(I68:J68)</f>
        <v>42</v>
      </c>
      <c r="L68" s="4">
        <f>AVERAGE(I68:J68)</f>
        <v>21</v>
      </c>
      <c r="M68" s="4">
        <f>MEDIAN(I68:J68)</f>
        <v>21</v>
      </c>
      <c r="N68" s="4">
        <f>MAX(I68:J68)</f>
        <v>30</v>
      </c>
      <c r="O68" s="4">
        <f>MIN(I68:J68)</f>
        <v>12</v>
      </c>
      <c r="P68" s="4" t="str">
        <f>IF(N68&gt;=50,"VERY","NOT VERY")</f>
        <v>NOT VERY</v>
      </c>
    </row>
    <row r="69" spans="1:16">
      <c r="A69" s="4" t="s">
        <v>95</v>
      </c>
      <c r="B69" s="4" t="s">
        <v>96</v>
      </c>
      <c r="C69" s="4">
        <v>14</v>
      </c>
      <c r="D69" s="4" t="s">
        <v>19</v>
      </c>
      <c r="E69" s="4" t="s">
        <v>24</v>
      </c>
      <c r="F69" s="4">
        <v>2023</v>
      </c>
      <c r="G69" s="4">
        <v>9.3</v>
      </c>
      <c r="H69" s="4">
        <v>5</v>
      </c>
      <c r="I69" s="4">
        <v>5</v>
      </c>
      <c r="J69" s="4">
        <v>15</v>
      </c>
      <c r="K69" s="7">
        <f>SUM(I69:J69)</f>
        <v>20</v>
      </c>
      <c r="L69" s="4">
        <f>AVERAGE(I69:J69)</f>
        <v>10</v>
      </c>
      <c r="M69" s="4">
        <f>MEDIAN(I69:J69)</f>
        <v>10</v>
      </c>
      <c r="N69" s="4">
        <f>MAX(I69:J69)</f>
        <v>15</v>
      </c>
      <c r="O69" s="4">
        <f>MIN(I69:J69)</f>
        <v>5</v>
      </c>
      <c r="P69" s="4" t="str">
        <f>IF(N69&gt;=50,"VERY","NOT VERY")</f>
        <v>NOT VERY</v>
      </c>
    </row>
    <row r="70" spans="1:16">
      <c r="A70" s="4" t="s">
        <v>95</v>
      </c>
      <c r="B70" s="4" t="s">
        <v>97</v>
      </c>
      <c r="C70" s="4">
        <v>13</v>
      </c>
      <c r="D70" s="4" t="s">
        <v>27</v>
      </c>
      <c r="E70" s="4" t="s">
        <v>24</v>
      </c>
      <c r="F70" s="4">
        <v>2019</v>
      </c>
      <c r="G70" s="4">
        <v>9.2</v>
      </c>
      <c r="H70" s="4">
        <v>8</v>
      </c>
      <c r="I70" s="4">
        <v>9</v>
      </c>
      <c r="J70" s="4">
        <v>16</v>
      </c>
      <c r="K70" s="7">
        <f>SUM(I70:J70)</f>
        <v>25</v>
      </c>
      <c r="L70" s="4">
        <f>AVERAGE(I70:J70)</f>
        <v>12.5</v>
      </c>
      <c r="M70" s="4">
        <f>MEDIAN(I70:J70)</f>
        <v>12.5</v>
      </c>
      <c r="N70" s="4">
        <f>MAX(I70:J70)</f>
        <v>16</v>
      </c>
      <c r="O70" s="4">
        <f>MIN(I70:J70)</f>
        <v>9</v>
      </c>
      <c r="P70" s="4" t="str">
        <f>IF(N70&gt;=50,"VERY","NOT VERY")</f>
        <v>NOT VERY</v>
      </c>
    </row>
    <row r="71" spans="1:16">
      <c r="A71" s="4" t="s">
        <v>95</v>
      </c>
      <c r="B71" s="4" t="s">
        <v>98</v>
      </c>
      <c r="C71" s="4">
        <v>12</v>
      </c>
      <c r="D71" s="4" t="s">
        <v>19</v>
      </c>
      <c r="E71" s="4" t="s">
        <v>24</v>
      </c>
      <c r="F71" s="4">
        <v>2018</v>
      </c>
      <c r="G71" s="4">
        <v>7.3</v>
      </c>
      <c r="H71" s="4">
        <v>8</v>
      </c>
      <c r="I71" s="4">
        <v>11</v>
      </c>
      <c r="J71" s="4">
        <v>32</v>
      </c>
      <c r="K71" s="7">
        <f>SUM(I71:J71)</f>
        <v>43</v>
      </c>
      <c r="L71" s="4">
        <f>AVERAGE(I71:J71)</f>
        <v>21.5</v>
      </c>
      <c r="M71" s="4">
        <f>MEDIAN(I71:J71)</f>
        <v>21.5</v>
      </c>
      <c r="N71" s="4">
        <f>MAX(I71:J71)</f>
        <v>32</v>
      </c>
      <c r="O71" s="4">
        <f>MIN(I71:J71)</f>
        <v>11</v>
      </c>
      <c r="P71" s="4" t="str">
        <f>IF(N71&gt;=50,"VERY","NOT VERY")</f>
        <v>NOT VERY</v>
      </c>
    </row>
    <row r="72" spans="1:16">
      <c r="A72" s="4" t="s">
        <v>95</v>
      </c>
      <c r="B72" s="4" t="s">
        <v>99</v>
      </c>
      <c r="C72" s="4">
        <v>12</v>
      </c>
      <c r="D72" s="4" t="s">
        <v>19</v>
      </c>
      <c r="E72" s="4" t="s">
        <v>24</v>
      </c>
      <c r="F72" s="4">
        <v>2019</v>
      </c>
      <c r="G72" s="4">
        <v>9</v>
      </c>
      <c r="H72" s="4">
        <v>10</v>
      </c>
      <c r="I72" s="4">
        <v>11</v>
      </c>
      <c r="J72" s="4">
        <v>20</v>
      </c>
      <c r="K72" s="7">
        <f>SUM(I72:J72)</f>
        <v>31</v>
      </c>
      <c r="L72" s="4">
        <f>AVERAGE(I72:J72)</f>
        <v>15.5</v>
      </c>
      <c r="M72" s="4">
        <f>MEDIAN(I72:J72)</f>
        <v>15.5</v>
      </c>
      <c r="N72" s="4">
        <f>MAX(I72:J72)</f>
        <v>20</v>
      </c>
      <c r="O72" s="4">
        <f>MIN(I72:J72)</f>
        <v>11</v>
      </c>
      <c r="P72" s="4" t="str">
        <f>IF(N72&gt;=50,"VERY","NOT VERY")</f>
        <v>NOT VERY</v>
      </c>
    </row>
    <row r="73" spans="1:16">
      <c r="A73" s="4" t="s">
        <v>95</v>
      </c>
      <c r="B73" s="4" t="s">
        <v>100</v>
      </c>
      <c r="C73" s="4">
        <v>9</v>
      </c>
      <c r="D73" s="4" t="s">
        <v>27</v>
      </c>
      <c r="E73" s="4" t="s">
        <v>24</v>
      </c>
      <c r="F73" s="4">
        <v>2018</v>
      </c>
      <c r="G73" s="4">
        <v>6.7</v>
      </c>
      <c r="H73" s="4">
        <v>8</v>
      </c>
      <c r="I73" s="4">
        <v>8</v>
      </c>
      <c r="J73" s="4">
        <v>24</v>
      </c>
      <c r="K73" s="7">
        <f>SUM(I73:J73)</f>
        <v>32</v>
      </c>
      <c r="L73" s="4">
        <f>AVERAGE(I73:J73)</f>
        <v>16</v>
      </c>
      <c r="M73" s="4">
        <f>MEDIAN(I73:J73)</f>
        <v>16</v>
      </c>
      <c r="N73" s="4">
        <f>MAX(I73:J73)</f>
        <v>24</v>
      </c>
      <c r="O73" s="4">
        <f>MIN(I73:J73)</f>
        <v>8</v>
      </c>
      <c r="P73" s="4" t="str">
        <f>IF(N73&gt;=50,"VERY","NOT VERY")</f>
        <v>NOT VERY</v>
      </c>
    </row>
    <row r="74" spans="1:16">
      <c r="A74" s="4" t="s">
        <v>95</v>
      </c>
      <c r="B74" s="4" t="s">
        <v>101</v>
      </c>
      <c r="C74" s="4">
        <v>15</v>
      </c>
      <c r="D74" s="4" t="s">
        <v>27</v>
      </c>
      <c r="E74" s="4" t="s">
        <v>24</v>
      </c>
      <c r="F74" s="4">
        <v>2019</v>
      </c>
      <c r="G74" s="4">
        <v>6.4</v>
      </c>
      <c r="H74" s="4">
        <v>3</v>
      </c>
      <c r="I74" s="4">
        <v>4</v>
      </c>
      <c r="J74" s="4">
        <v>15</v>
      </c>
      <c r="K74" s="7">
        <f>SUM(I74:J74)</f>
        <v>19</v>
      </c>
      <c r="L74" s="4">
        <f>AVERAGE(I74:J74)</f>
        <v>9.5</v>
      </c>
      <c r="M74" s="4">
        <f>MEDIAN(I74:J74)</f>
        <v>9.5</v>
      </c>
      <c r="N74" s="4">
        <f>MAX(I74:J74)</f>
        <v>15</v>
      </c>
      <c r="O74" s="4">
        <f>MIN(I74:J74)</f>
        <v>4</v>
      </c>
      <c r="P74" s="4" t="str">
        <f>IF(N74&gt;=50,"VERY","NOT VERY")</f>
        <v>NOT VERY</v>
      </c>
    </row>
    <row r="75" spans="1:16">
      <c r="A75" s="4" t="s">
        <v>95</v>
      </c>
      <c r="B75" s="4" t="s">
        <v>102</v>
      </c>
      <c r="C75" s="4">
        <v>9</v>
      </c>
      <c r="D75" s="4" t="s">
        <v>27</v>
      </c>
      <c r="E75" s="4" t="s">
        <v>20</v>
      </c>
      <c r="F75" s="4">
        <v>2023</v>
      </c>
      <c r="G75" s="4">
        <v>11</v>
      </c>
      <c r="H75" s="4">
        <v>5</v>
      </c>
      <c r="I75" s="4">
        <v>6</v>
      </c>
      <c r="J75" s="4">
        <v>15</v>
      </c>
      <c r="K75" s="7">
        <f>SUM(I75:J75)</f>
        <v>21</v>
      </c>
      <c r="L75" s="4">
        <f>AVERAGE(I75:J75)</f>
        <v>10.5</v>
      </c>
      <c r="M75" s="4">
        <f>MEDIAN(I75:J75)</f>
        <v>10.5</v>
      </c>
      <c r="N75" s="4">
        <f>MAX(I75:J75)</f>
        <v>15</v>
      </c>
      <c r="O75" s="4">
        <f>MIN(I75:J75)</f>
        <v>6</v>
      </c>
      <c r="P75" s="4" t="str">
        <f>IF(N75&gt;=50,"VERY","NOT VERY")</f>
        <v>NOT VERY</v>
      </c>
    </row>
    <row r="76" spans="1:16">
      <c r="A76" s="4" t="s">
        <v>95</v>
      </c>
      <c r="B76" s="4" t="s">
        <v>103</v>
      </c>
      <c r="C76" s="4">
        <v>5</v>
      </c>
      <c r="D76" s="4" t="s">
        <v>27</v>
      </c>
      <c r="E76" s="4" t="s">
        <v>24</v>
      </c>
      <c r="F76" s="4">
        <v>2023</v>
      </c>
      <c r="G76" s="4">
        <v>6.9</v>
      </c>
      <c r="H76" s="4">
        <v>10</v>
      </c>
      <c r="I76" s="4">
        <v>12</v>
      </c>
      <c r="J76" s="4">
        <v>30</v>
      </c>
      <c r="K76" s="7">
        <f>SUM(I76:J76)</f>
        <v>42</v>
      </c>
      <c r="L76" s="4">
        <f>AVERAGE(I76:J76)</f>
        <v>21</v>
      </c>
      <c r="M76" s="4">
        <f>MEDIAN(I76:J76)</f>
        <v>21</v>
      </c>
      <c r="N76" s="4">
        <f>MAX(I76:J76)</f>
        <v>30</v>
      </c>
      <c r="O76" s="4">
        <f>MIN(I76:J76)</f>
        <v>12</v>
      </c>
      <c r="P76" s="4" t="str">
        <f>IF(N76&gt;=50,"VERY","NOT VERY")</f>
        <v>NOT VERY</v>
      </c>
    </row>
    <row r="77" spans="1:16">
      <c r="A77" s="4" t="s">
        <v>95</v>
      </c>
      <c r="B77" s="4" t="s">
        <v>104</v>
      </c>
      <c r="C77" s="4">
        <v>8</v>
      </c>
      <c r="D77" s="4" t="s">
        <v>19</v>
      </c>
      <c r="E77" s="4" t="s">
        <v>24</v>
      </c>
      <c r="F77" s="4">
        <v>2015</v>
      </c>
      <c r="G77" s="4">
        <v>7.4</v>
      </c>
      <c r="H77" s="4">
        <v>3</v>
      </c>
      <c r="I77" s="4">
        <v>6</v>
      </c>
      <c r="J77" s="4">
        <v>6</v>
      </c>
      <c r="K77" s="7">
        <f>SUM(I77:J77)</f>
        <v>12</v>
      </c>
      <c r="L77" s="4">
        <f>AVERAGE(I77:J77)</f>
        <v>6</v>
      </c>
      <c r="M77" s="4">
        <f>MEDIAN(I77:J77)</f>
        <v>6</v>
      </c>
      <c r="N77" s="4">
        <f>MAX(I77:J77)</f>
        <v>6</v>
      </c>
      <c r="O77" s="4">
        <f>MIN(I77:J77)</f>
        <v>6</v>
      </c>
      <c r="P77" s="4" t="str">
        <f>IF(N77&gt;=50,"VERY","NOT VERY")</f>
        <v>NOT VERY</v>
      </c>
    </row>
    <row r="78" spans="1:16">
      <c r="A78" s="4" t="s">
        <v>95</v>
      </c>
      <c r="B78" s="4" t="s">
        <v>105</v>
      </c>
      <c r="C78" s="4">
        <v>6</v>
      </c>
      <c r="D78" s="4" t="s">
        <v>19</v>
      </c>
      <c r="E78" s="4" t="s">
        <v>24</v>
      </c>
      <c r="F78" s="4">
        <v>2022</v>
      </c>
      <c r="G78" s="4">
        <v>8</v>
      </c>
      <c r="H78" s="4">
        <v>6</v>
      </c>
      <c r="I78" s="4">
        <v>8</v>
      </c>
      <c r="J78" s="4">
        <v>30</v>
      </c>
      <c r="K78" s="7">
        <f>SUM(I78:J78)</f>
        <v>38</v>
      </c>
      <c r="L78" s="4">
        <f>AVERAGE(I78:J78)</f>
        <v>19</v>
      </c>
      <c r="M78" s="4">
        <f>MEDIAN(I78:J78)</f>
        <v>19</v>
      </c>
      <c r="N78" s="4">
        <f>MAX(I78:J78)</f>
        <v>30</v>
      </c>
      <c r="O78" s="4">
        <f>MIN(I78:J78)</f>
        <v>8</v>
      </c>
      <c r="P78" s="4" t="str">
        <f>IF(N78&gt;=50,"VERY","NOT VERY")</f>
        <v>NOT VERY</v>
      </c>
    </row>
    <row r="79" spans="1:16">
      <c r="A79" s="4" t="s">
        <v>95</v>
      </c>
      <c r="B79" s="4" t="s">
        <v>106</v>
      </c>
      <c r="C79" s="4">
        <v>4</v>
      </c>
      <c r="D79" s="4" t="s">
        <v>27</v>
      </c>
      <c r="E79" s="4" t="s">
        <v>24</v>
      </c>
      <c r="F79" s="4">
        <v>2023</v>
      </c>
      <c r="G79" s="4">
        <v>6.7</v>
      </c>
      <c r="H79" s="4">
        <v>7</v>
      </c>
      <c r="I79" s="4">
        <v>7</v>
      </c>
      <c r="J79" s="4">
        <v>21</v>
      </c>
      <c r="K79" s="7">
        <f>SUM(I79:J79)</f>
        <v>28</v>
      </c>
      <c r="L79" s="4">
        <f>AVERAGE(I79:J79)</f>
        <v>14</v>
      </c>
      <c r="M79" s="4">
        <f>MEDIAN(I79:J79)</f>
        <v>14</v>
      </c>
      <c r="N79" s="4">
        <f>MAX(I79:J79)</f>
        <v>21</v>
      </c>
      <c r="O79" s="4">
        <f>MIN(I79:J79)</f>
        <v>7</v>
      </c>
      <c r="P79" s="4" t="str">
        <f>IF(N79&gt;=50,"VERY","NOT VERY")</f>
        <v>NOT VERY</v>
      </c>
    </row>
    <row r="80" spans="1:16">
      <c r="A80" s="4" t="s">
        <v>95</v>
      </c>
      <c r="B80" s="4" t="s">
        <v>107</v>
      </c>
      <c r="C80" s="4">
        <v>5</v>
      </c>
      <c r="D80" s="4" t="s">
        <v>27</v>
      </c>
      <c r="E80" s="4" t="s">
        <v>24</v>
      </c>
      <c r="F80" s="4">
        <v>2021</v>
      </c>
      <c r="G80" s="4">
        <v>6.8</v>
      </c>
      <c r="H80" s="4">
        <v>6</v>
      </c>
      <c r="I80" s="4">
        <v>8</v>
      </c>
      <c r="J80" s="4">
        <v>24</v>
      </c>
      <c r="K80" s="7">
        <f>SUM(I80:J80)</f>
        <v>32</v>
      </c>
      <c r="L80" s="4">
        <f>AVERAGE(I80:J80)</f>
        <v>16</v>
      </c>
      <c r="M80" s="4">
        <f>MEDIAN(I80:J80)</f>
        <v>16</v>
      </c>
      <c r="N80" s="4">
        <f>MAX(I80:J80)</f>
        <v>24</v>
      </c>
      <c r="O80" s="4">
        <f>MIN(I80:J80)</f>
        <v>8</v>
      </c>
      <c r="P80" s="4" t="str">
        <f>IF(N80&gt;=50,"VERY","NOT VERY")</f>
        <v>NOT VERY</v>
      </c>
    </row>
    <row r="81" spans="1:16">
      <c r="A81" s="4" t="s">
        <v>95</v>
      </c>
      <c r="B81" s="4" t="s">
        <v>108</v>
      </c>
      <c r="C81" s="4">
        <v>7</v>
      </c>
      <c r="D81" s="4" t="s">
        <v>19</v>
      </c>
      <c r="E81" s="4" t="s">
        <v>24</v>
      </c>
      <c r="F81" s="4">
        <v>2018</v>
      </c>
      <c r="G81" s="4">
        <v>7.3</v>
      </c>
      <c r="H81" s="4">
        <v>9</v>
      </c>
      <c r="I81" s="4">
        <v>9</v>
      </c>
      <c r="J81" s="4">
        <v>18</v>
      </c>
      <c r="K81" s="7">
        <f>SUM(I81:J81)</f>
        <v>27</v>
      </c>
      <c r="L81" s="4">
        <f>AVERAGE(I81:J81)</f>
        <v>13.5</v>
      </c>
      <c r="M81" s="4">
        <f>MEDIAN(I81:J81)</f>
        <v>13.5</v>
      </c>
      <c r="N81" s="4">
        <f>MAX(I81:J81)</f>
        <v>18</v>
      </c>
      <c r="O81" s="4">
        <f>MIN(I81:J81)</f>
        <v>9</v>
      </c>
      <c r="P81" s="4" t="str">
        <f>IF(N81&gt;=50,"VERY","NOT VERY")</f>
        <v>NOT VERY</v>
      </c>
    </row>
    <row r="82" spans="1:16">
      <c r="A82" s="4" t="s">
        <v>95</v>
      </c>
      <c r="B82" s="4" t="s">
        <v>109</v>
      </c>
      <c r="C82" s="4">
        <v>8</v>
      </c>
      <c r="D82" s="4" t="s">
        <v>19</v>
      </c>
      <c r="E82" s="4" t="s">
        <v>24</v>
      </c>
      <c r="F82" s="4">
        <v>2015</v>
      </c>
      <c r="G82" s="4">
        <v>6.3</v>
      </c>
      <c r="H82" s="4">
        <v>10</v>
      </c>
      <c r="I82" s="4">
        <v>10</v>
      </c>
      <c r="J82" s="4">
        <v>30</v>
      </c>
      <c r="K82" s="7">
        <f>SUM(I82:J82)</f>
        <v>40</v>
      </c>
      <c r="L82" s="4">
        <f>AVERAGE(I82:J82)</f>
        <v>20</v>
      </c>
      <c r="M82" s="4">
        <f>MEDIAN(I82:J82)</f>
        <v>20</v>
      </c>
      <c r="N82" s="4">
        <f>MAX(I82:J82)</f>
        <v>30</v>
      </c>
      <c r="O82" s="4">
        <f>MIN(I82:J82)</f>
        <v>10</v>
      </c>
      <c r="P82" s="4" t="str">
        <f>IF(N82&gt;=50,"VERY","NOT VERY")</f>
        <v>NOT VERY</v>
      </c>
    </row>
    <row r="83" spans="1:16">
      <c r="A83" s="4" t="s">
        <v>95</v>
      </c>
      <c r="B83" s="4" t="s">
        <v>110</v>
      </c>
      <c r="C83" s="4">
        <v>5</v>
      </c>
      <c r="D83" s="4" t="s">
        <v>19</v>
      </c>
      <c r="E83" s="4" t="s">
        <v>24</v>
      </c>
      <c r="F83" s="4">
        <v>2020</v>
      </c>
      <c r="G83" s="4">
        <v>7.7</v>
      </c>
      <c r="H83" s="4">
        <v>9</v>
      </c>
      <c r="I83" s="4">
        <v>12</v>
      </c>
      <c r="J83" s="4">
        <v>45</v>
      </c>
      <c r="K83" s="7">
        <f>SUM(I83:J83)</f>
        <v>57</v>
      </c>
      <c r="L83" s="4">
        <f>AVERAGE(I83:J83)</f>
        <v>28.5</v>
      </c>
      <c r="M83" s="4">
        <f>MEDIAN(I83:J83)</f>
        <v>28.5</v>
      </c>
      <c r="N83" s="4">
        <f>MAX(I83:J83)</f>
        <v>45</v>
      </c>
      <c r="O83" s="4">
        <f>MIN(I83:J83)</f>
        <v>12</v>
      </c>
      <c r="P83" s="4" t="str">
        <f>IF(N83&gt;=50,"VERY","NOT VERY")</f>
        <v>NOT VERY</v>
      </c>
    </row>
    <row r="84" spans="1:16">
      <c r="A84" s="4" t="s">
        <v>95</v>
      </c>
      <c r="B84" s="4" t="s">
        <v>111</v>
      </c>
      <c r="C84" s="4">
        <v>7</v>
      </c>
      <c r="D84" s="4" t="s">
        <v>19</v>
      </c>
      <c r="E84" s="4" t="s">
        <v>20</v>
      </c>
      <c r="F84" s="4">
        <v>2019</v>
      </c>
      <c r="G84" s="4">
        <v>11.4</v>
      </c>
      <c r="H84" s="4">
        <v>1</v>
      </c>
      <c r="I84" s="4">
        <v>4</v>
      </c>
      <c r="J84" s="4">
        <v>2</v>
      </c>
      <c r="K84" s="7">
        <f>SUM(I84:J84)</f>
        <v>6</v>
      </c>
      <c r="L84" s="4">
        <f>AVERAGE(I84:J84)</f>
        <v>3</v>
      </c>
      <c r="M84" s="4">
        <f>MEDIAN(I84:J84)</f>
        <v>3</v>
      </c>
      <c r="N84" s="4">
        <f>MAX(I84:J84)</f>
        <v>4</v>
      </c>
      <c r="O84" s="4">
        <f>MIN(I84:J84)</f>
        <v>2</v>
      </c>
      <c r="P84" s="4" t="str">
        <f>IF(N84&gt;=50,"VERY","NOT VERY")</f>
        <v>NOT VERY</v>
      </c>
    </row>
    <row r="85" spans="1:16">
      <c r="A85" s="4" t="s">
        <v>95</v>
      </c>
      <c r="B85" s="4" t="s">
        <v>112</v>
      </c>
      <c r="C85" s="4">
        <v>11</v>
      </c>
      <c r="D85" s="4" t="s">
        <v>27</v>
      </c>
      <c r="E85" s="4" t="s">
        <v>24</v>
      </c>
      <c r="F85" s="4">
        <v>2022</v>
      </c>
      <c r="G85" s="4">
        <v>7.8</v>
      </c>
      <c r="H85" s="4">
        <v>8</v>
      </c>
      <c r="I85" s="4">
        <v>9</v>
      </c>
      <c r="J85" s="4">
        <v>32</v>
      </c>
      <c r="K85" s="7">
        <f>SUM(I85:J85)</f>
        <v>41</v>
      </c>
      <c r="L85" s="4">
        <f>AVERAGE(I85:J85)</f>
        <v>20.5</v>
      </c>
      <c r="M85" s="4">
        <f>MEDIAN(I85:J85)</f>
        <v>20.5</v>
      </c>
      <c r="N85" s="4">
        <f>MAX(I85:J85)</f>
        <v>32</v>
      </c>
      <c r="O85" s="4">
        <f>MIN(I85:J85)</f>
        <v>9</v>
      </c>
      <c r="P85" s="4" t="str">
        <f>IF(N85&gt;=50,"VERY","NOT VERY")</f>
        <v>NOT VERY</v>
      </c>
    </row>
    <row r="86" spans="1:16">
      <c r="A86" s="4" t="s">
        <v>95</v>
      </c>
      <c r="B86" s="4" t="s">
        <v>113</v>
      </c>
      <c r="C86" s="4">
        <v>15</v>
      </c>
      <c r="D86" s="4" t="s">
        <v>19</v>
      </c>
      <c r="E86" s="4" t="s">
        <v>24</v>
      </c>
      <c r="F86" s="4">
        <v>2021</v>
      </c>
      <c r="G86" s="4">
        <v>8.5</v>
      </c>
      <c r="H86" s="4">
        <v>9</v>
      </c>
      <c r="I86" s="4">
        <v>9</v>
      </c>
      <c r="J86" s="4">
        <v>36</v>
      </c>
      <c r="K86" s="7">
        <f>SUM(I86:J86)</f>
        <v>45</v>
      </c>
      <c r="L86" s="4">
        <f>AVERAGE(I86:J86)</f>
        <v>22.5</v>
      </c>
      <c r="M86" s="4">
        <f>MEDIAN(I86:J86)</f>
        <v>22.5</v>
      </c>
      <c r="N86" s="4">
        <f>MAX(I86:J86)</f>
        <v>36</v>
      </c>
      <c r="O86" s="4">
        <f>MIN(I86:J86)</f>
        <v>9</v>
      </c>
      <c r="P86" s="4" t="str">
        <f>IF(N86&gt;=50,"VERY","NOT VERY")</f>
        <v>NOT VERY</v>
      </c>
    </row>
    <row r="87" spans="1:16">
      <c r="A87" s="4" t="s">
        <v>95</v>
      </c>
      <c r="B87" s="4" t="s">
        <v>114</v>
      </c>
      <c r="C87" s="4">
        <v>10</v>
      </c>
      <c r="D87" s="4" t="s">
        <v>27</v>
      </c>
      <c r="E87" s="4" t="s">
        <v>24</v>
      </c>
      <c r="F87" s="4">
        <v>2023</v>
      </c>
      <c r="G87" s="4">
        <v>7</v>
      </c>
      <c r="H87" s="4">
        <v>10</v>
      </c>
      <c r="I87" s="4">
        <v>13</v>
      </c>
      <c r="J87" s="4">
        <v>50</v>
      </c>
      <c r="K87" s="7">
        <f>SUM(I87:J87)</f>
        <v>63</v>
      </c>
      <c r="L87" s="4">
        <f>AVERAGE(I87:J87)</f>
        <v>31.5</v>
      </c>
      <c r="M87" s="4">
        <f>MEDIAN(I87:J87)</f>
        <v>31.5</v>
      </c>
      <c r="N87" s="4">
        <f>MAX(I87:J87)</f>
        <v>50</v>
      </c>
      <c r="O87" s="4">
        <f>MIN(I87:J87)</f>
        <v>13</v>
      </c>
      <c r="P87" s="4" t="str">
        <f>IF(N87&gt;=50,"VERY","NOT VERY")</f>
        <v>VERY</v>
      </c>
    </row>
    <row r="88" spans="1:16">
      <c r="A88" s="4" t="s">
        <v>95</v>
      </c>
      <c r="B88" s="4" t="s">
        <v>115</v>
      </c>
      <c r="C88" s="4">
        <v>3</v>
      </c>
      <c r="D88" s="4" t="s">
        <v>19</v>
      </c>
      <c r="E88" s="4" t="s">
        <v>24</v>
      </c>
      <c r="F88" s="4">
        <v>2020</v>
      </c>
      <c r="G88" s="4">
        <v>7.8</v>
      </c>
      <c r="H88" s="4">
        <v>7</v>
      </c>
      <c r="I88" s="4">
        <v>7</v>
      </c>
      <c r="J88" s="4">
        <v>35</v>
      </c>
      <c r="K88" s="7">
        <f>SUM(I88:J88)</f>
        <v>42</v>
      </c>
      <c r="L88" s="4">
        <f>AVERAGE(I88:J88)</f>
        <v>21</v>
      </c>
      <c r="M88" s="4">
        <f>MEDIAN(I88:J88)</f>
        <v>21</v>
      </c>
      <c r="N88" s="4">
        <f>MAX(I88:J88)</f>
        <v>35</v>
      </c>
      <c r="O88" s="4">
        <f>MIN(I88:J88)</f>
        <v>7</v>
      </c>
      <c r="P88" s="4" t="str">
        <f>IF(N88&gt;=50,"VERY","NOT VERY")</f>
        <v>NOT VERY</v>
      </c>
    </row>
    <row r="89" spans="1:16">
      <c r="A89" s="4" t="s">
        <v>95</v>
      </c>
      <c r="B89" s="4" t="s">
        <v>116</v>
      </c>
      <c r="C89" s="4">
        <v>14</v>
      </c>
      <c r="D89" s="4" t="s">
        <v>19</v>
      </c>
      <c r="E89" s="4" t="s">
        <v>20</v>
      </c>
      <c r="F89" s="4">
        <v>2017</v>
      </c>
      <c r="G89" s="4">
        <v>10.7</v>
      </c>
      <c r="H89" s="4">
        <v>0</v>
      </c>
      <c r="I89" s="4">
        <v>3</v>
      </c>
      <c r="J89" s="4">
        <v>0</v>
      </c>
      <c r="K89" s="7">
        <f>SUM(I89:J89)</f>
        <v>3</v>
      </c>
      <c r="L89" s="4">
        <f>AVERAGE(I89:J89)</f>
        <v>1.5</v>
      </c>
      <c r="M89" s="4">
        <f>MEDIAN(I89:J89)</f>
        <v>1.5</v>
      </c>
      <c r="N89" s="4">
        <f>MAX(I89:J89)</f>
        <v>3</v>
      </c>
      <c r="O89" s="4">
        <f>MIN(I89:J89)</f>
        <v>0</v>
      </c>
      <c r="P89" s="4" t="str">
        <f>IF(N89&gt;=50,"VERY","NOT VERY")</f>
        <v>NOT VERY</v>
      </c>
    </row>
    <row r="90" spans="1:16">
      <c r="A90" s="4" t="s">
        <v>95</v>
      </c>
      <c r="B90" s="4" t="s">
        <v>117</v>
      </c>
      <c r="C90" s="4">
        <v>9</v>
      </c>
      <c r="D90" s="4" t="s">
        <v>27</v>
      </c>
      <c r="E90" s="4" t="s">
        <v>20</v>
      </c>
      <c r="F90" s="4">
        <v>2022</v>
      </c>
      <c r="G90" s="4">
        <v>10.2</v>
      </c>
      <c r="H90" s="4">
        <v>0</v>
      </c>
      <c r="I90" s="4">
        <v>0</v>
      </c>
      <c r="J90" s="4">
        <v>0</v>
      </c>
      <c r="K90" s="7">
        <f>SUM(I90:J90)</f>
        <v>0</v>
      </c>
      <c r="L90" s="4">
        <f>AVERAGE(I90:J90)</f>
        <v>0</v>
      </c>
      <c r="M90" s="4">
        <f>MEDIAN(I90:J90)</f>
        <v>0</v>
      </c>
      <c r="N90" s="4">
        <f>MAX(I90:J90)</f>
        <v>0</v>
      </c>
      <c r="O90" s="4">
        <f>MIN(I90:J90)</f>
        <v>0</v>
      </c>
      <c r="P90" s="4" t="str">
        <f>IF(N90&gt;=50,"VERY","NOT VERY")</f>
        <v>NOT VERY</v>
      </c>
    </row>
    <row r="91" spans="1:16">
      <c r="A91" s="4" t="s">
        <v>95</v>
      </c>
      <c r="B91" s="4" t="s">
        <v>118</v>
      </c>
      <c r="C91" s="4">
        <v>10</v>
      </c>
      <c r="D91" s="4" t="s">
        <v>27</v>
      </c>
      <c r="E91" s="4" t="s">
        <v>24</v>
      </c>
      <c r="F91" s="4">
        <v>2016</v>
      </c>
      <c r="G91" s="4">
        <v>6.7</v>
      </c>
      <c r="H91" s="4">
        <v>6</v>
      </c>
      <c r="I91" s="4">
        <v>9</v>
      </c>
      <c r="J91" s="4">
        <v>12</v>
      </c>
      <c r="K91" s="7">
        <f>SUM(I91:J91)</f>
        <v>21</v>
      </c>
      <c r="L91" s="4">
        <f>AVERAGE(I91:J91)</f>
        <v>10.5</v>
      </c>
      <c r="M91" s="4">
        <f>MEDIAN(I91:J91)</f>
        <v>10.5</v>
      </c>
      <c r="N91" s="4">
        <f>MAX(I91:J91)</f>
        <v>12</v>
      </c>
      <c r="O91" s="4">
        <f>MIN(I91:J91)</f>
        <v>9</v>
      </c>
      <c r="P91" s="4" t="str">
        <f>IF(N91&gt;=50,"VERY","NOT VERY")</f>
        <v>NOT VERY</v>
      </c>
    </row>
    <row r="92" spans="1:16">
      <c r="A92" s="4" t="s">
        <v>95</v>
      </c>
      <c r="B92" s="4" t="s">
        <v>119</v>
      </c>
      <c r="C92" s="4">
        <v>4</v>
      </c>
      <c r="D92" s="4" t="s">
        <v>27</v>
      </c>
      <c r="E92" s="4" t="s">
        <v>20</v>
      </c>
      <c r="F92" s="4">
        <v>2017</v>
      </c>
      <c r="G92" s="4">
        <v>9.4</v>
      </c>
      <c r="H92" s="4">
        <v>5</v>
      </c>
      <c r="I92" s="4">
        <v>5</v>
      </c>
      <c r="J92" s="4">
        <v>10</v>
      </c>
      <c r="K92" s="7">
        <f>SUM(I92:J92)</f>
        <v>15</v>
      </c>
      <c r="L92" s="4">
        <f>AVERAGE(I92:J92)</f>
        <v>7.5</v>
      </c>
      <c r="M92" s="4">
        <f>MEDIAN(I92:J92)</f>
        <v>7.5</v>
      </c>
      <c r="N92" s="4">
        <f>MAX(I92:J92)</f>
        <v>10</v>
      </c>
      <c r="O92" s="4">
        <f>MIN(I92:J92)</f>
        <v>5</v>
      </c>
      <c r="P92" s="4" t="str">
        <f>IF(N92&gt;=50,"VERY","NOT VERY")</f>
        <v>NOT VERY</v>
      </c>
    </row>
    <row r="93" spans="1:16">
      <c r="A93" s="4" t="s">
        <v>95</v>
      </c>
      <c r="B93" s="4" t="s">
        <v>120</v>
      </c>
      <c r="C93" s="4">
        <v>5</v>
      </c>
      <c r="D93" s="4" t="s">
        <v>19</v>
      </c>
      <c r="E93" s="4" t="s">
        <v>24</v>
      </c>
      <c r="F93" s="4">
        <v>2016</v>
      </c>
      <c r="G93" s="4">
        <v>6.1</v>
      </c>
      <c r="H93" s="4">
        <v>7</v>
      </c>
      <c r="I93" s="4">
        <v>7</v>
      </c>
      <c r="J93" s="4">
        <v>14</v>
      </c>
      <c r="K93" s="7">
        <f>SUM(I93:J93)</f>
        <v>21</v>
      </c>
      <c r="L93" s="4">
        <f>AVERAGE(I93:J93)</f>
        <v>10.5</v>
      </c>
      <c r="M93" s="4">
        <f>MEDIAN(I93:J93)</f>
        <v>10.5</v>
      </c>
      <c r="N93" s="4">
        <f>MAX(I93:J93)</f>
        <v>14</v>
      </c>
      <c r="O93" s="4">
        <f>MIN(I93:J93)</f>
        <v>7</v>
      </c>
      <c r="P93" s="4" t="str">
        <f>IF(N93&gt;=50,"VERY","NOT VERY")</f>
        <v>NOT VERY</v>
      </c>
    </row>
    <row r="94" spans="1:16">
      <c r="A94" s="4" t="s">
        <v>95</v>
      </c>
      <c r="B94" s="4" t="s">
        <v>121</v>
      </c>
      <c r="C94" s="4">
        <v>14</v>
      </c>
      <c r="D94" s="4" t="s">
        <v>27</v>
      </c>
      <c r="E94" s="4" t="s">
        <v>20</v>
      </c>
      <c r="F94" s="4">
        <v>2019</v>
      </c>
      <c r="G94" s="4">
        <v>10.4</v>
      </c>
      <c r="H94" s="4">
        <v>0</v>
      </c>
      <c r="I94" s="4">
        <v>1</v>
      </c>
      <c r="J94" s="4">
        <v>0</v>
      </c>
      <c r="K94" s="7">
        <f>SUM(I94:J94)</f>
        <v>1</v>
      </c>
      <c r="L94" s="4">
        <f>AVERAGE(I94:J94)</f>
        <v>0.5</v>
      </c>
      <c r="M94" s="4">
        <f>MEDIAN(I94:J94)</f>
        <v>0.5</v>
      </c>
      <c r="N94" s="4">
        <f>MAX(I94:J94)</f>
        <v>1</v>
      </c>
      <c r="O94" s="4">
        <f>MIN(I94:J94)</f>
        <v>0</v>
      </c>
      <c r="P94" s="4" t="str">
        <f>IF(N94&gt;=50,"VERY","NOT VERY")</f>
        <v>NOT VERY</v>
      </c>
    </row>
    <row r="95" spans="1:16">
      <c r="A95" s="4" t="s">
        <v>95</v>
      </c>
      <c r="B95" s="4" t="s">
        <v>122</v>
      </c>
      <c r="C95" s="4">
        <v>9</v>
      </c>
      <c r="D95" s="4" t="s">
        <v>19</v>
      </c>
      <c r="E95" s="4" t="s">
        <v>24</v>
      </c>
      <c r="F95" s="4">
        <v>2018</v>
      </c>
      <c r="G95" s="4">
        <v>6.1</v>
      </c>
      <c r="H95" s="4">
        <v>8</v>
      </c>
      <c r="I95" s="4">
        <v>8</v>
      </c>
      <c r="J95" s="4">
        <v>24</v>
      </c>
      <c r="K95" s="7">
        <f>SUM(I95:J95)</f>
        <v>32</v>
      </c>
      <c r="L95" s="4">
        <f>AVERAGE(I95:J95)</f>
        <v>16</v>
      </c>
      <c r="M95" s="4">
        <f>MEDIAN(I95:J95)</f>
        <v>16</v>
      </c>
      <c r="N95" s="4">
        <f>MAX(I95:J95)</f>
        <v>24</v>
      </c>
      <c r="O95" s="4">
        <f>MIN(I95:J95)</f>
        <v>8</v>
      </c>
      <c r="P95" s="4" t="str">
        <f>IF(N95&gt;=50,"VERY","NOT VERY")</f>
        <v>NOT VERY</v>
      </c>
    </row>
    <row r="96" spans="1:16">
      <c r="A96" s="4" t="s">
        <v>95</v>
      </c>
      <c r="B96" s="4" t="s">
        <v>123</v>
      </c>
      <c r="C96" s="4">
        <v>12</v>
      </c>
      <c r="D96" s="4" t="s">
        <v>19</v>
      </c>
      <c r="E96" s="4" t="s">
        <v>20</v>
      </c>
      <c r="F96" s="4">
        <v>2017</v>
      </c>
      <c r="G96" s="4">
        <v>9.8</v>
      </c>
      <c r="H96" s="4">
        <v>0</v>
      </c>
      <c r="I96" s="4">
        <v>3</v>
      </c>
      <c r="J96" s="4">
        <v>0</v>
      </c>
      <c r="K96" s="7">
        <f>SUM(I96:J96)</f>
        <v>3</v>
      </c>
      <c r="L96" s="4">
        <f>AVERAGE(I96:J96)</f>
        <v>1.5</v>
      </c>
      <c r="M96" s="4">
        <f>MEDIAN(I96:J96)</f>
        <v>1.5</v>
      </c>
      <c r="N96" s="4">
        <f>MAX(I96:J96)</f>
        <v>3</v>
      </c>
      <c r="O96" s="4">
        <f>MIN(I96:J96)</f>
        <v>0</v>
      </c>
      <c r="P96" s="4" t="str">
        <f>IF(N96&gt;=50,"VERY","NOT VERY")</f>
        <v>NOT VERY</v>
      </c>
    </row>
    <row r="97" spans="1:16">
      <c r="A97" s="4" t="s">
        <v>95</v>
      </c>
      <c r="B97" s="4" t="s">
        <v>124</v>
      </c>
      <c r="C97" s="4">
        <v>3</v>
      </c>
      <c r="D97" s="4" t="s">
        <v>19</v>
      </c>
      <c r="E97" s="4" t="s">
        <v>24</v>
      </c>
      <c r="F97" s="4">
        <v>2020</v>
      </c>
      <c r="G97" s="4">
        <v>6.2</v>
      </c>
      <c r="H97" s="4">
        <v>5</v>
      </c>
      <c r="I97" s="4">
        <v>6</v>
      </c>
      <c r="J97" s="4">
        <v>10</v>
      </c>
      <c r="K97" s="7">
        <f>SUM(I97:J97)</f>
        <v>16</v>
      </c>
      <c r="L97" s="4">
        <f>AVERAGE(I97:J97)</f>
        <v>8</v>
      </c>
      <c r="M97" s="4">
        <f>MEDIAN(I97:J97)</f>
        <v>8</v>
      </c>
      <c r="N97" s="4">
        <f>MAX(I97:J97)</f>
        <v>10</v>
      </c>
      <c r="O97" s="4">
        <f>MIN(I97:J97)</f>
        <v>6</v>
      </c>
      <c r="P97" s="4" t="str">
        <f>IF(N97&gt;=50,"VERY","NOT VERY")</f>
        <v>NOT VERY</v>
      </c>
    </row>
    <row r="98" spans="1:16">
      <c r="A98" s="4" t="s">
        <v>95</v>
      </c>
      <c r="B98" s="4" t="s">
        <v>125</v>
      </c>
      <c r="C98" s="4">
        <v>11</v>
      </c>
      <c r="D98" s="4" t="s">
        <v>19</v>
      </c>
      <c r="E98" s="4" t="s">
        <v>24</v>
      </c>
      <c r="F98" s="4">
        <v>2019</v>
      </c>
      <c r="G98" s="4">
        <v>6.8</v>
      </c>
      <c r="H98" s="4">
        <v>10</v>
      </c>
      <c r="I98" s="4">
        <v>12</v>
      </c>
      <c r="J98" s="4">
        <v>30</v>
      </c>
      <c r="K98" s="7">
        <f>SUM(I98:J98)</f>
        <v>42</v>
      </c>
      <c r="L98" s="4">
        <f>AVERAGE(I98:J98)</f>
        <v>21</v>
      </c>
      <c r="M98" s="4">
        <f>MEDIAN(I98:J98)</f>
        <v>21</v>
      </c>
      <c r="N98" s="4">
        <f>MAX(I98:J98)</f>
        <v>30</v>
      </c>
      <c r="O98" s="4">
        <f>MIN(I98:J98)</f>
        <v>12</v>
      </c>
      <c r="P98" s="4" t="str">
        <f>IF(N98&gt;=50,"VERY","NOT VERY")</f>
        <v>NOT VERY</v>
      </c>
    </row>
    <row r="99" spans="1:16">
      <c r="A99" s="4" t="s">
        <v>95</v>
      </c>
      <c r="B99" s="4" t="s">
        <v>126</v>
      </c>
      <c r="C99" s="4">
        <v>10</v>
      </c>
      <c r="D99" s="4" t="s">
        <v>19</v>
      </c>
      <c r="E99" s="4" t="s">
        <v>24</v>
      </c>
      <c r="F99" s="4">
        <v>2023</v>
      </c>
      <c r="G99" s="4">
        <v>8.3</v>
      </c>
      <c r="H99" s="4">
        <v>3</v>
      </c>
      <c r="I99" s="4">
        <v>3</v>
      </c>
      <c r="J99" s="4">
        <v>12</v>
      </c>
      <c r="K99" s="7">
        <f>SUM(I99:J99)</f>
        <v>15</v>
      </c>
      <c r="L99" s="4">
        <f>AVERAGE(I99:J99)</f>
        <v>7.5</v>
      </c>
      <c r="M99" s="4">
        <f>MEDIAN(I99:J99)</f>
        <v>7.5</v>
      </c>
      <c r="N99" s="4">
        <f>MAX(I99:J99)</f>
        <v>12</v>
      </c>
      <c r="O99" s="4">
        <f>MIN(I99:J99)</f>
        <v>3</v>
      </c>
      <c r="P99" s="4" t="str">
        <f>IF(N99&gt;=50,"VERY","NOT VERY")</f>
        <v>NOT VERY</v>
      </c>
    </row>
    <row r="100" spans="1:16">
      <c r="A100" s="4" t="s">
        <v>95</v>
      </c>
      <c r="B100" s="4" t="s">
        <v>127</v>
      </c>
      <c r="C100" s="4">
        <v>10</v>
      </c>
      <c r="D100" s="4" t="s">
        <v>27</v>
      </c>
      <c r="E100" s="4" t="s">
        <v>24</v>
      </c>
      <c r="F100" s="4">
        <v>2019</v>
      </c>
      <c r="G100" s="4">
        <v>6.8</v>
      </c>
      <c r="H100" s="4">
        <v>4</v>
      </c>
      <c r="I100" s="4">
        <v>6</v>
      </c>
      <c r="J100" s="4">
        <v>20</v>
      </c>
      <c r="K100" s="7">
        <f>SUM(I100:J100)</f>
        <v>26</v>
      </c>
      <c r="L100" s="4">
        <f>AVERAGE(I100:J100)</f>
        <v>13</v>
      </c>
      <c r="M100" s="4">
        <f>MEDIAN(I100:J100)</f>
        <v>13</v>
      </c>
      <c r="N100" s="4">
        <f>MAX(I100:J100)</f>
        <v>20</v>
      </c>
      <c r="O100" s="4">
        <f>MIN(I100:J100)</f>
        <v>6</v>
      </c>
      <c r="P100" s="4" t="str">
        <f>IF(N100&gt;=50,"VERY","NOT VERY")</f>
        <v>NOT VERY</v>
      </c>
    </row>
    <row r="101" spans="1:16">
      <c r="A101" s="4" t="s">
        <v>95</v>
      </c>
      <c r="B101" s="4" t="s">
        <v>128</v>
      </c>
      <c r="C101" s="4">
        <v>7</v>
      </c>
      <c r="D101" s="4" t="s">
        <v>27</v>
      </c>
      <c r="E101" s="4" t="s">
        <v>24</v>
      </c>
      <c r="F101" s="4">
        <v>2022</v>
      </c>
      <c r="G101" s="4">
        <v>6.4</v>
      </c>
      <c r="H101" s="4">
        <v>3</v>
      </c>
      <c r="I101" s="4">
        <v>3</v>
      </c>
      <c r="J101" s="4">
        <v>9</v>
      </c>
      <c r="K101" s="7">
        <f>SUM(I101:J101)</f>
        <v>12</v>
      </c>
      <c r="L101" s="4">
        <f>AVERAGE(I101:J101)</f>
        <v>6</v>
      </c>
      <c r="M101" s="4">
        <f>MEDIAN(I101:J101)</f>
        <v>6</v>
      </c>
      <c r="N101" s="4">
        <f>MAX(I101:J101)</f>
        <v>9</v>
      </c>
      <c r="O101" s="4">
        <f>MIN(I101:J101)</f>
        <v>3</v>
      </c>
      <c r="P101" s="4" t="str">
        <f>IF(N101&gt;=50,"VERY","NOT VERY")</f>
        <v>NOT VERY</v>
      </c>
    </row>
  </sheetData>
  <sortState ref="A2:P101">
    <sortCondition ref="A2" descending="1"/>
  </sortState>
  <mergeCells count="1">
    <mergeCell ref="S1:U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SickleCellData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2026-04-28T12:28:00Z</dcterms:created>
  <dcterms:modified xsi:type="dcterms:W3CDTF">2026-04-29T14:04:42Z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2E512EA5D5994F91A420CC83B64BFC7D_12</vt:lpwstr>
  </property>
  <property fmtid="{D5CDD505-2E9C-101B-9397-08002B2CF9AE}" pid="3" name="KSOProductBuildVer">
    <vt:lpwstr>1033-12.2.0.23196</vt:lpwstr>
  </property>
</Properties>
</file>